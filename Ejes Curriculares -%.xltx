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Jorge A. Cotera\Desktop\"/>
    </mc:Choice>
  </mc:AlternateContent>
  <bookViews>
    <workbookView xWindow="0" yWindow="0" windowWidth="12000" windowHeight="3045"/>
  </bookViews>
  <sheets>
    <sheet name="Hoja1" sheetId="1" r:id="rId1"/>
  </sheets>
  <definedNames>
    <definedName name="DATOS">Hoja1!$F$16:$Y$17,Hoja1!$F$19:$Y$20,Hoja1!$F$22:$Y$23,Hoja1!$F$25:$Y$26,Hoja1!$F$28:$Y$29,Hoja1!$F$31:$Y$32,Hoja1!$F$34:$Y$35,Hoja1!$F$37:$Y$38,Hoja1!$F$40:$Y$41,Hoja1!$F$43:$Y$44,Hoja1!$F$46:$Y$47</definedName>
    <definedName name="EJES">Hoja1!$E$2</definedName>
    <definedName name="EJES1">Hoja1!$C$4</definedName>
    <definedName name="EJES2">Hoja1!$C$6</definedName>
    <definedName name="EJES3">Hoja1!$P$4</definedName>
    <definedName name="EJES4">Hoja1!$P$6</definedName>
    <definedName name="EJES5">Hoja1!$C$8</definedName>
    <definedName name="EJES6">Hoja1!$C$10</definedName>
    <definedName name="EJES7">Hoja1!$P$8</definedName>
    <definedName name="EJES8">Hoja1!$P$10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1" l="1"/>
  <c r="D46" i="1" l="1"/>
  <c r="AF46" i="1" s="1"/>
  <c r="D47" i="1"/>
  <c r="AF47" i="1" s="1"/>
  <c r="C47" i="1"/>
  <c r="AD47" i="1" s="1"/>
  <c r="B47" i="1"/>
  <c r="A47" i="1"/>
  <c r="C46" i="1"/>
  <c r="AD46" i="1" s="1"/>
  <c r="B46" i="1"/>
  <c r="AH46" i="1" s="1"/>
  <c r="A46" i="1"/>
  <c r="D44" i="1"/>
  <c r="AF44" i="1" s="1"/>
  <c r="C44" i="1"/>
  <c r="AD44" i="1" s="1"/>
  <c r="B44" i="1"/>
  <c r="AH44" i="1" s="1"/>
  <c r="A44" i="1"/>
  <c r="D43" i="1"/>
  <c r="AF43" i="1" s="1"/>
  <c r="C43" i="1"/>
  <c r="AD43" i="1" s="1"/>
  <c r="B43" i="1"/>
  <c r="AH43" i="1" s="1"/>
  <c r="A43" i="1"/>
  <c r="D41" i="1"/>
  <c r="AF41" i="1" s="1"/>
  <c r="C41" i="1"/>
  <c r="AD41" i="1" s="1"/>
  <c r="B41" i="1"/>
  <c r="AH41" i="1" s="1"/>
  <c r="A41" i="1"/>
  <c r="D40" i="1"/>
  <c r="AF40" i="1" s="1"/>
  <c r="C40" i="1"/>
  <c r="AD40" i="1" s="1"/>
  <c r="B40" i="1"/>
  <c r="AH40" i="1" s="1"/>
  <c r="A40" i="1"/>
  <c r="D38" i="1"/>
  <c r="AF38" i="1" s="1"/>
  <c r="C38" i="1"/>
  <c r="AD38" i="1" s="1"/>
  <c r="B38" i="1"/>
  <c r="AH38" i="1" s="1"/>
  <c r="A38" i="1"/>
  <c r="D37" i="1"/>
  <c r="AF37" i="1" s="1"/>
  <c r="C37" i="1"/>
  <c r="AD37" i="1" s="1"/>
  <c r="B37" i="1"/>
  <c r="AH37" i="1" s="1"/>
  <c r="A37" i="1"/>
  <c r="D35" i="1"/>
  <c r="AF35" i="1" s="1"/>
  <c r="C35" i="1"/>
  <c r="AD35" i="1" s="1"/>
  <c r="B35" i="1"/>
  <c r="AH35" i="1" s="1"/>
  <c r="A35" i="1"/>
  <c r="D34" i="1"/>
  <c r="AF34" i="1" s="1"/>
  <c r="C34" i="1"/>
  <c r="AD34" i="1" s="1"/>
  <c r="B34" i="1"/>
  <c r="AH34" i="1" s="1"/>
  <c r="A34" i="1"/>
  <c r="D32" i="1"/>
  <c r="AF32" i="1" s="1"/>
  <c r="C32" i="1"/>
  <c r="AD32" i="1" s="1"/>
  <c r="B32" i="1"/>
  <c r="AH32" i="1" s="1"/>
  <c r="A32" i="1"/>
  <c r="D31" i="1"/>
  <c r="AF31" i="1" s="1"/>
  <c r="C31" i="1"/>
  <c r="AD31" i="1" s="1"/>
  <c r="B31" i="1"/>
  <c r="AH31" i="1" s="1"/>
  <c r="A31" i="1"/>
  <c r="D29" i="1"/>
  <c r="AF29" i="1" s="1"/>
  <c r="C29" i="1"/>
  <c r="AD29" i="1" s="1"/>
  <c r="B29" i="1"/>
  <c r="AH29" i="1" s="1"/>
  <c r="A29" i="1"/>
  <c r="D28" i="1"/>
  <c r="AF28" i="1" s="1"/>
  <c r="C28" i="1"/>
  <c r="AD28" i="1" s="1"/>
  <c r="B28" i="1"/>
  <c r="AH28" i="1" s="1"/>
  <c r="A28" i="1"/>
  <c r="D26" i="1"/>
  <c r="AF26" i="1" s="1"/>
  <c r="C26" i="1"/>
  <c r="AD26" i="1" s="1"/>
  <c r="B26" i="1"/>
  <c r="AH26" i="1" s="1"/>
  <c r="A26" i="1"/>
  <c r="D25" i="1"/>
  <c r="AF25" i="1" s="1"/>
  <c r="C25" i="1"/>
  <c r="AD25" i="1" s="1"/>
  <c r="B25" i="1"/>
  <c r="AH25" i="1" s="1"/>
  <c r="A25" i="1"/>
  <c r="D23" i="1"/>
  <c r="AF23" i="1" s="1"/>
  <c r="C23" i="1"/>
  <c r="AD23" i="1" s="1"/>
  <c r="B23" i="1"/>
  <c r="A23" i="1"/>
  <c r="D22" i="1"/>
  <c r="AF22" i="1" s="1"/>
  <c r="C22" i="1"/>
  <c r="AD22" i="1" s="1"/>
  <c r="B22" i="1"/>
  <c r="AH22" i="1" s="1"/>
  <c r="A22" i="1"/>
  <c r="D20" i="1"/>
  <c r="AF20" i="1" s="1"/>
  <c r="C20" i="1"/>
  <c r="AD20" i="1" s="1"/>
  <c r="B20" i="1"/>
  <c r="AH20" i="1" s="1"/>
  <c r="A20" i="1"/>
  <c r="AJ20" i="1" s="1"/>
  <c r="D19" i="1"/>
  <c r="AF19" i="1" s="1"/>
  <c r="C19" i="1"/>
  <c r="AD19" i="1" s="1"/>
  <c r="B19" i="1"/>
  <c r="AH19" i="1" s="1"/>
  <c r="A19" i="1"/>
  <c r="A16" i="1"/>
  <c r="A17" i="1"/>
  <c r="Y10" i="1" s="1"/>
  <c r="B17" i="1"/>
  <c r="M10" i="1" s="1"/>
  <c r="B16" i="1"/>
  <c r="AH16" i="1" s="1"/>
  <c r="D17" i="1"/>
  <c r="AF17" i="1" s="1"/>
  <c r="D16" i="1"/>
  <c r="C17" i="1"/>
  <c r="C16" i="1"/>
  <c r="AD16" i="1" s="1"/>
  <c r="AJ47" i="1"/>
  <c r="AI47" i="1"/>
  <c r="AH47" i="1"/>
  <c r="AG47" i="1"/>
  <c r="AE47" i="1"/>
  <c r="AC47" i="1"/>
  <c r="AJ46" i="1"/>
  <c r="AI46" i="1"/>
  <c r="AG46" i="1"/>
  <c r="AE46" i="1"/>
  <c r="AC46" i="1"/>
  <c r="AJ44" i="1"/>
  <c r="AI44" i="1"/>
  <c r="AG44" i="1"/>
  <c r="AE44" i="1"/>
  <c r="AC44" i="1"/>
  <c r="AJ43" i="1"/>
  <c r="AI43" i="1"/>
  <c r="AG43" i="1"/>
  <c r="AE43" i="1"/>
  <c r="AC43" i="1"/>
  <c r="AJ41" i="1"/>
  <c r="AI41" i="1"/>
  <c r="AG41" i="1"/>
  <c r="AE41" i="1"/>
  <c r="AC41" i="1"/>
  <c r="AJ40" i="1"/>
  <c r="AI40" i="1"/>
  <c r="AG40" i="1"/>
  <c r="AE40" i="1"/>
  <c r="AC40" i="1"/>
  <c r="AJ38" i="1"/>
  <c r="AI38" i="1"/>
  <c r="AG38" i="1"/>
  <c r="AE38" i="1"/>
  <c r="AC38" i="1"/>
  <c r="AJ37" i="1"/>
  <c r="AI37" i="1"/>
  <c r="AG37" i="1"/>
  <c r="AE37" i="1"/>
  <c r="AC37" i="1"/>
  <c r="AJ35" i="1"/>
  <c r="AI35" i="1"/>
  <c r="AG35" i="1"/>
  <c r="AE35" i="1"/>
  <c r="AC35" i="1"/>
  <c r="AJ34" i="1"/>
  <c r="AI34" i="1"/>
  <c r="AG34" i="1"/>
  <c r="AE34" i="1"/>
  <c r="AC34" i="1"/>
  <c r="AJ32" i="1"/>
  <c r="AI32" i="1"/>
  <c r="AG32" i="1"/>
  <c r="AE32" i="1"/>
  <c r="AC32" i="1"/>
  <c r="AJ31" i="1"/>
  <c r="AI31" i="1"/>
  <c r="AG31" i="1"/>
  <c r="AE31" i="1"/>
  <c r="AC31" i="1"/>
  <c r="AJ29" i="1"/>
  <c r="AI29" i="1"/>
  <c r="AG29" i="1"/>
  <c r="AE29" i="1"/>
  <c r="AC29" i="1"/>
  <c r="AJ28" i="1"/>
  <c r="AI28" i="1"/>
  <c r="AG28" i="1"/>
  <c r="AE28" i="1"/>
  <c r="AC28" i="1"/>
  <c r="AJ26" i="1"/>
  <c r="AI26" i="1"/>
  <c r="AG26" i="1"/>
  <c r="AE26" i="1"/>
  <c r="AC26" i="1"/>
  <c r="AJ25" i="1"/>
  <c r="AI25" i="1"/>
  <c r="AG25" i="1"/>
  <c r="AE25" i="1"/>
  <c r="AC25" i="1"/>
  <c r="AJ23" i="1"/>
  <c r="AI23" i="1"/>
  <c r="AH23" i="1"/>
  <c r="AG23" i="1"/>
  <c r="AE23" i="1"/>
  <c r="AC23" i="1"/>
  <c r="AJ22" i="1"/>
  <c r="AI22" i="1"/>
  <c r="AG22" i="1"/>
  <c r="AE22" i="1"/>
  <c r="AC22" i="1"/>
  <c r="AI20" i="1"/>
  <c r="AG20" i="1"/>
  <c r="AE20" i="1"/>
  <c r="AC20" i="1"/>
  <c r="AJ19" i="1"/>
  <c r="AI19" i="1"/>
  <c r="AG19" i="1"/>
  <c r="AE19" i="1"/>
  <c r="AC19" i="1"/>
  <c r="AI17" i="1"/>
  <c r="AI16" i="1"/>
  <c r="AG17" i="1"/>
  <c r="AG16" i="1"/>
  <c r="AE17" i="1"/>
  <c r="AE16" i="1"/>
  <c r="AC17" i="1"/>
  <c r="AC16" i="1"/>
  <c r="AJ16" i="1"/>
  <c r="AF16" i="1" l="1"/>
  <c r="Y4" i="1"/>
  <c r="Y6" i="1"/>
  <c r="Y8" i="1"/>
  <c r="AJ17" i="1"/>
  <c r="M6" i="1"/>
  <c r="M8" i="1"/>
  <c r="AH17" i="1"/>
  <c r="AD17" i="1"/>
  <c r="M4" i="1"/>
  <c r="F2" i="1"/>
</calcChain>
</file>

<file path=xl/comments1.xml><?xml version="1.0" encoding="utf-8"?>
<comments xmlns="http://schemas.openxmlformats.org/spreadsheetml/2006/main">
  <authors>
    <author>Jorge A. Cotera</author>
  </authors>
  <commentList>
    <comment ref="E2" authorId="0" shapeId="0">
      <text>
        <r>
          <rPr>
            <b/>
            <sz val="9"/>
            <color indexed="81"/>
            <rFont val="Tahoma"/>
            <family val="2"/>
          </rPr>
          <t>N° de Ejes.</t>
        </r>
      </text>
    </comment>
  </commentList>
</comments>
</file>

<file path=xl/sharedStrings.xml><?xml version="1.0" encoding="utf-8"?>
<sst xmlns="http://schemas.openxmlformats.org/spreadsheetml/2006/main" count="6" uniqueCount="6">
  <si>
    <t>Grados</t>
  </si>
  <si>
    <t>Periodos</t>
  </si>
  <si>
    <t>1°</t>
  </si>
  <si>
    <t>2°</t>
  </si>
  <si>
    <t>3°</t>
  </si>
  <si>
    <t>4°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</si>
</sst>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31">
    <xf numFmtId="0" fontId="0" fillId="0" borderId="0" xfId="0"/>
    <xf numFmtId="0" fontId="0" fillId="4" borderId="0" xfId="0" applyFill="1" applyBorder="1" applyProtection="1"/>
    <xf numFmtId="0" fontId="0" fillId="4" borderId="0" xfId="0" applyFill="1" applyBorder="1" applyAlignment="1" applyProtection="1">
      <alignment horizontal="center"/>
    </xf>
    <xf numFmtId="0" fontId="3" fillId="4" borderId="0" xfId="0" applyFont="1" applyFill="1" applyBorder="1" applyProtection="1"/>
    <xf numFmtId="0" fontId="0" fillId="0" borderId="0" xfId="0" applyProtection="1"/>
    <xf numFmtId="0" fontId="0" fillId="4" borderId="0" xfId="0" applyFill="1" applyAlignment="1" applyProtection="1">
      <alignment horizontal="center"/>
    </xf>
    <xf numFmtId="0" fontId="3" fillId="4" borderId="0" xfId="0" applyFont="1" applyFill="1" applyBorder="1" applyAlignment="1" applyProtection="1">
      <alignment horizont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/>
    <xf numFmtId="0" fontId="3" fillId="4" borderId="0" xfId="0" applyFont="1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vertical="center"/>
    </xf>
    <xf numFmtId="0" fontId="1" fillId="2" borderId="1" xfId="0" applyFont="1" applyFill="1" applyBorder="1" applyAlignment="1" applyProtection="1">
      <alignment horizontal="center"/>
    </xf>
    <xf numFmtId="0" fontId="5" fillId="4" borderId="0" xfId="0" applyFont="1" applyFill="1" applyBorder="1" applyAlignment="1" applyProtection="1">
      <alignment horizontal="center" vertical="center"/>
    </xf>
    <xf numFmtId="0" fontId="7" fillId="4" borderId="0" xfId="0" applyFont="1" applyFill="1" applyBorder="1" applyAlignment="1" applyProtection="1">
      <alignment vertical="center"/>
    </xf>
    <xf numFmtId="164" fontId="0" fillId="4" borderId="0" xfId="1" applyNumberFormat="1" applyFont="1" applyFill="1" applyBorder="1" applyAlignment="1" applyProtection="1">
      <alignment horizontal="center" vertical="center"/>
    </xf>
    <xf numFmtId="164" fontId="0" fillId="4" borderId="0" xfId="1" applyNumberFormat="1" applyFont="1" applyFill="1" applyBorder="1" applyAlignment="1" applyProtection="1">
      <alignment horizontal="center"/>
    </xf>
    <xf numFmtId="0" fontId="5" fillId="4" borderId="0" xfId="0" applyFont="1" applyFill="1" applyBorder="1" applyProtection="1"/>
    <xf numFmtId="0" fontId="6" fillId="5" borderId="0" xfId="0" applyFont="1" applyFill="1" applyAlignment="1" applyProtection="1">
      <alignment vertical="center"/>
    </xf>
    <xf numFmtId="0" fontId="0" fillId="4" borderId="0" xfId="0" applyFill="1" applyBorder="1" applyAlignment="1" applyProtection="1">
      <alignment horizontal="center"/>
    </xf>
    <xf numFmtId="0" fontId="3" fillId="4" borderId="0" xfId="0" applyFont="1" applyFill="1" applyBorder="1" applyAlignment="1" applyProtection="1">
      <alignment horizontal="center" vertical="center"/>
      <protection locked="0"/>
    </xf>
    <xf numFmtId="0" fontId="1" fillId="4" borderId="0" xfId="0" applyFont="1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/>
    </xf>
    <xf numFmtId="0" fontId="1" fillId="3" borderId="1" xfId="0" applyFont="1" applyFill="1" applyBorder="1" applyAlignment="1" applyProtection="1">
      <alignment horizontal="center"/>
    </xf>
    <xf numFmtId="164" fontId="3" fillId="4" borderId="0" xfId="1" applyNumberFormat="1" applyFont="1" applyFill="1" applyBorder="1" applyAlignment="1" applyProtection="1">
      <alignment horizontal="center" vertical="center"/>
    </xf>
    <xf numFmtId="0" fontId="3" fillId="4" borderId="0" xfId="0" applyFont="1" applyFill="1" applyBorder="1" applyAlignment="1" applyProtection="1">
      <alignment horizontal="left"/>
      <protection locked="0"/>
    </xf>
    <xf numFmtId="0" fontId="3" fillId="4" borderId="0" xfId="0" applyFont="1" applyFill="1" applyBorder="1" applyAlignment="1" applyProtection="1">
      <alignment horizontal="center" vertical="center"/>
      <protection locked="0"/>
    </xf>
    <xf numFmtId="0" fontId="3" fillId="4" borderId="0" xfId="0" applyFont="1" applyFill="1" applyBorder="1" applyAlignment="1" applyProtection="1">
      <alignment horizontal="left" wrapText="1"/>
      <protection locked="0"/>
    </xf>
    <xf numFmtId="0" fontId="1" fillId="2" borderId="1" xfId="0" applyFont="1" applyFill="1" applyBorder="1" applyAlignment="1" applyProtection="1">
      <alignment horizontal="center"/>
    </xf>
    <xf numFmtId="0" fontId="1" fillId="3" borderId="2" xfId="0" applyFont="1" applyFill="1" applyBorder="1" applyAlignment="1" applyProtection="1">
      <alignment horizontal="center"/>
    </xf>
    <xf numFmtId="0" fontId="4" fillId="6" borderId="1" xfId="0" applyFont="1" applyFill="1" applyBorder="1" applyAlignment="1" applyProtection="1">
      <alignment horizontal="center" vertical="center"/>
    </xf>
  </cellXfs>
  <cellStyles count="2">
    <cellStyle name="Normal" xfId="0" builtinId="0"/>
    <cellStyle name="Porcentaje" xfId="1" builtinId="5"/>
  </cellStyles>
  <dxfs count="80"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381D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6DD9FF"/>
        </patternFill>
      </fill>
    </dxf>
    <dxf>
      <fill>
        <patternFill>
          <bgColor rgb="FF93FFC4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D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C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D9B28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D9B28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C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381D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6DD9FF"/>
        </patternFill>
      </fill>
    </dxf>
    <dxf>
      <fill>
        <patternFill>
          <bgColor rgb="FF93FFC4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FFD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color rgb="FFFF000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b/>
        <i val="0"/>
        <color rgb="FF0000FF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b/>
        <i val="0"/>
        <color rgb="FFFF0000"/>
      </font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rgb="FFD9B28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rgb="FFFFFFD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rgb="FF93FFC4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C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6DD9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381D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rgb="FFD9B28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rgb="FFFFFFD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rgb="FF93FFC4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C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6DD9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B381D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rgb="FFD9B28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theme="0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rgb="FFFFFFD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rgb="FF93FFC4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rgb="FFFFCC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rgb="FF6DD9F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auto="1"/>
      </font>
      <fill>
        <patternFill>
          <bgColor rgb="FFB381D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/>
      </font>
      <border>
        <left/>
        <right/>
        <top/>
        <bottom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FF"/>
      <color rgb="FFFFCCFF"/>
      <color rgb="FFFFC000"/>
      <color rgb="FF6DD9FF"/>
      <color rgb="FFB381D9"/>
      <color rgb="FFD9B28B"/>
      <color rgb="FFFFFFD1"/>
      <color rgb="FF93FF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bg1">
                  <a:lumMod val="75000"/>
                </a:schemeClr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D9B28B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cat>
            <c:strRef>
              <c:f>(Hoja1!$AC$16:$AC$17,Hoja1!$AE$16:$AE$17,Hoja1!$AG$16:$AG$17,Hoja1!$AI$16:$AI$17)</c:f>
            </c:strRef>
          </c:cat>
          <c:val>
            <c:numRef>
              <c:f>(Hoja1!$AD$16:$AD$17,Hoja1!$AF$16:$AF$17,Hoja1!$AH$16:$AH$17,Hoja1!$AJ$16:$AJ$17)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bg1">
                  <a:lumMod val="75000"/>
                </a:schemeClr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D9B28B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cat>
            <c:numRef>
              <c:f>(Hoja1!$AC$16:$AC$17,Hoja1!$AE$16:$AE$17)</c:f>
            </c:numRef>
          </c:cat>
          <c:val>
            <c:numRef>
              <c:f>(Hoja1!$AD$19:$AD$20,Hoja1!$AF$19:$AF$20,Hoja1!$AH$19,Hoja1!$AH$20,Hoja1!$AJ$19,Hoja1!$AJ$20)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bg1">
                  <a:lumMod val="75000"/>
                </a:schemeClr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D9B28B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cat>
            <c:numRef>
              <c:f>(Hoja1!$AC$16:$AC$17,Hoja1!$AE$16:$AE$17)</c:f>
            </c:numRef>
          </c:cat>
          <c:val>
            <c:numRef>
              <c:f>(Hoja1!$AD$22:$AD$23,Hoja1!$AF$22:$AF$23,Hoja1!$AH$22,Hoja1!$AH$23,Hoja1!$AJ$22,Hoja1!$AJ$23)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bg1">
                  <a:lumMod val="75000"/>
                </a:schemeClr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D9B28B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cat>
            <c:numRef>
              <c:f>(Hoja1!$AC$16:$AC$17,Hoja1!$AE$16:$AE$17)</c:f>
            </c:numRef>
          </c:cat>
          <c:val>
            <c:numRef>
              <c:f>(Hoja1!$AD$25:$AD$26,Hoja1!$AF$25:$AF$26,Hoja1!$AH$25,Hoja1!$AH$26,Hoja1!$AJ$25,Hoja1!$AJ$26)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bg1">
                  <a:lumMod val="75000"/>
                </a:schemeClr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D9B28B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cat>
            <c:numRef>
              <c:f>(Hoja1!$AC$16:$AC$17,Hoja1!$AE$16:$AE$17)</c:f>
            </c:numRef>
          </c:cat>
          <c:val>
            <c:numRef>
              <c:f>(Hoja1!$AD$28:$AD$29,Hoja1!$AF$28:$AF$29,Hoja1!$AH$28,Hoja1!$AH$29,Hoja1!$AJ$28,Hoja1!$AJ$29)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bg1">
                  <a:lumMod val="75000"/>
                </a:schemeClr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D9B28B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cat>
            <c:numRef>
              <c:f>(Hoja1!$AC$16:$AC$17,Hoja1!$AE$16:$AE$17)</c:f>
            </c:numRef>
          </c:cat>
          <c:val>
            <c:numRef>
              <c:f>(Hoja1!$AD$31:$AD$32,Hoja1!$AF$31:$AF$32,Hoja1!$AH$31,Hoja1!$AH$32,Hoja1!$AJ$31,Hoja1!$AJ$32)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bg1">
                  <a:lumMod val="75000"/>
                </a:schemeClr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D9B28B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cat>
            <c:strRef>
              <c:f>(Hoja1!$AC$16:$AC$17,Hoja1!$AE$16:$AE$17)</c:f>
            </c:strRef>
          </c:cat>
          <c:val>
            <c:numRef>
              <c:f>(Hoja1!$AD$34:$AD$35,Hoja1!$AF$34:$AF$35,Hoja1!$AH$34,Hoja1!$AH$35,Hoja1!$AJ$34,Hoja1!$AJ$35)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bg1">
                  <a:lumMod val="75000"/>
                </a:schemeClr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D9B28B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cat>
            <c:strRef>
              <c:f>(Hoja1!$AC$16:$AC$17,Hoja1!$AE$16:$AE$17)</c:f>
            </c:strRef>
          </c:cat>
          <c:val>
            <c:numRef>
              <c:f>(Hoja1!$AD$37:$AD$38,Hoja1!$AF$37:$AF$38,Hoja1!$AH$37,Hoja1!$AH$38,Hoja1!$AJ$37,Hoja1!$AJ$38)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bg1">
                  <a:lumMod val="75000"/>
                </a:schemeClr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D9B28B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cat>
            <c:strRef>
              <c:f>(Hoja1!$AC$16:$AC$17,Hoja1!$AE$16:$AE$17)</c:f>
            </c:strRef>
          </c:cat>
          <c:val>
            <c:numRef>
              <c:f>(Hoja1!$AD$40:$AD$41,Hoja1!$AF$40:$AF$41,Hoja1!$AH$40,Hoja1!$AH$41,Hoja1!$AJ$40,Hoja1!$AJ$41)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bg1">
                  <a:lumMod val="75000"/>
                </a:schemeClr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D9B28B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cat>
            <c:strRef>
              <c:f>(Hoja1!$AC$16:$AC$17,Hoja1!$AE$16:$AE$17)</c:f>
            </c:strRef>
          </c:cat>
          <c:val>
            <c:numRef>
              <c:f>(Hoja1!$AD$43:$AD$44,Hoja1!$AF$43:$AF$44,Hoja1!$AH$43,Hoja1!$AH$44,Hoja1!$AJ$43,Hoja1!$AJ$44)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bg1">
                  <a:lumMod val="75000"/>
                </a:schemeClr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dPt>
            <c:idx val="7"/>
            <c:bubble3D val="0"/>
            <c:spPr>
              <a:solidFill>
                <a:srgbClr val="D9B28B"/>
              </a:solidFill>
              <a:ln>
                <a:solidFill>
                  <a:sysClr val="windowText" lastClr="000000"/>
                </a:solidFill>
              </a:ln>
              <a:effectLst/>
            </c:spPr>
          </c:dPt>
          <c:cat>
            <c:strRef>
              <c:f>(Hoja1!$AC$16:$AC$17,Hoja1!$AE$16:$AE$17)</c:f>
            </c:strRef>
          </c:cat>
          <c:val>
            <c:numRef>
              <c:f>(Hoja1!$AD$46:$AD$47,Hoja1!$AF$46:$AF$47,Hoja1!$AH$46,Hoja1!$AH$47,Hoja1!$AJ$46,Hoja1!$AJ$47)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dPt>
            <c:idx val="0"/>
            <c:bubble3D val="0"/>
            <c:spPr>
              <a:solidFill>
                <a:schemeClr val="accent1"/>
              </a:solidFill>
              <a:ln>
                <a:solidFill>
                  <a:sysClr val="windowText" lastClr="000000"/>
                </a:solidFill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solidFill>
                  <a:sysClr val="windowText" lastClr="000000"/>
                </a:solidFill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solidFill>
                  <a:sysClr val="windowText" lastClr="000000"/>
                </a:solidFill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solidFill>
                  <a:sysClr val="windowText" lastClr="000000"/>
                </a:solidFill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solidFill>
                  <a:sysClr val="windowText" lastClr="000000"/>
                </a:solidFill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solidFill>
                  <a:sysClr val="windowText" lastClr="000000"/>
                </a:solidFill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solidFill>
                  <a:sysClr val="windowText" lastClr="000000"/>
                </a:solidFill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solidFill>
                  <a:sysClr val="windowText" lastClr="000000"/>
                </a:solidFill>
              </a:ln>
              <a:effectLst>
                <a:outerShdw blurRad="317500" algn="ctr" rotWithShape="0">
                  <a:prstClr val="black">
                    <a:alpha val="25000"/>
                  </a:prstClr>
                </a:outerShdw>
              </a:effectLst>
            </c:spPr>
          </c:dPt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multiLvlStrRef>
              <c:f>(Hoja1!$AC$16:$AC$17,Hoja1!$AE$16:$AE$17,Hoja1!$AG$16:$AG$17,Hoja1!$AI$16:$AI$17)</c:f>
            </c:multiLvlStrRef>
          </c:cat>
          <c:val>
            <c:numRef>
              <c:f>(Hoja1!$M$4,Hoja1!$M$6,Hoja1!$Y$4,Hoja1!$Y$6,Hoja1!$M$8,Hoja1!$M$10,Hoja1!$Y$8,Hoja1!$Y$10)</c:f>
              <c:numCache>
                <c:formatCode>0.0%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pattFill prst="dkDnDiag">
      <a:fgClr>
        <a:schemeClr val="lt1">
          <a:lumMod val="95000"/>
        </a:schemeClr>
      </a:fgClr>
      <a:bgClr>
        <a:schemeClr val="lt1"/>
      </a:bgClr>
    </a:patt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1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noFill/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image" Target="../media/image1.gif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123826</xdr:colOff>
      <xdr:row>13</xdr:row>
      <xdr:rowOff>171449</xdr:rowOff>
    </xdr:from>
    <xdr:to>
      <xdr:col>28</xdr:col>
      <xdr:colOff>152400</xdr:colOff>
      <xdr:row>17</xdr:row>
      <xdr:rowOff>176210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133350</xdr:colOff>
      <xdr:row>17</xdr:row>
      <xdr:rowOff>38100</xdr:rowOff>
    </xdr:from>
    <xdr:to>
      <xdr:col>28</xdr:col>
      <xdr:colOff>161924</xdr:colOff>
      <xdr:row>21</xdr:row>
      <xdr:rowOff>42861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133350</xdr:colOff>
      <xdr:row>20</xdr:row>
      <xdr:rowOff>19050</xdr:rowOff>
    </xdr:from>
    <xdr:to>
      <xdr:col>28</xdr:col>
      <xdr:colOff>161924</xdr:colOff>
      <xdr:row>24</xdr:row>
      <xdr:rowOff>23811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123825</xdr:colOff>
      <xdr:row>23</xdr:row>
      <xdr:rowOff>9525</xdr:rowOff>
    </xdr:from>
    <xdr:to>
      <xdr:col>28</xdr:col>
      <xdr:colOff>152399</xdr:colOff>
      <xdr:row>27</xdr:row>
      <xdr:rowOff>14286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123825</xdr:colOff>
      <xdr:row>26</xdr:row>
      <xdr:rowOff>9525</xdr:rowOff>
    </xdr:from>
    <xdr:to>
      <xdr:col>28</xdr:col>
      <xdr:colOff>152399</xdr:colOff>
      <xdr:row>30</xdr:row>
      <xdr:rowOff>14286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123825</xdr:colOff>
      <xdr:row>29</xdr:row>
      <xdr:rowOff>0</xdr:rowOff>
    </xdr:from>
    <xdr:to>
      <xdr:col>28</xdr:col>
      <xdr:colOff>152399</xdr:colOff>
      <xdr:row>33</xdr:row>
      <xdr:rowOff>4761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123825</xdr:colOff>
      <xdr:row>32</xdr:row>
      <xdr:rowOff>0</xdr:rowOff>
    </xdr:from>
    <xdr:to>
      <xdr:col>28</xdr:col>
      <xdr:colOff>152399</xdr:colOff>
      <xdr:row>36</xdr:row>
      <xdr:rowOff>4761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123825</xdr:colOff>
      <xdr:row>35</xdr:row>
      <xdr:rowOff>9525</xdr:rowOff>
    </xdr:from>
    <xdr:to>
      <xdr:col>28</xdr:col>
      <xdr:colOff>152399</xdr:colOff>
      <xdr:row>39</xdr:row>
      <xdr:rowOff>14286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24</xdr:col>
      <xdr:colOff>123825</xdr:colOff>
      <xdr:row>38</xdr:row>
      <xdr:rowOff>19050</xdr:rowOff>
    </xdr:from>
    <xdr:to>
      <xdr:col>28</xdr:col>
      <xdr:colOff>152399</xdr:colOff>
      <xdr:row>42</xdr:row>
      <xdr:rowOff>23811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123825</xdr:colOff>
      <xdr:row>41</xdr:row>
      <xdr:rowOff>38100</xdr:rowOff>
    </xdr:from>
    <xdr:to>
      <xdr:col>28</xdr:col>
      <xdr:colOff>152399</xdr:colOff>
      <xdr:row>45</xdr:row>
      <xdr:rowOff>42861</xdr:rowOff>
    </xdr:to>
    <xdr:graphicFrame macro="">
      <xdr:nvGraphicFramePr>
        <xdr:cNvPr id="11" name="Gráfico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24</xdr:col>
      <xdr:colOff>123825</xdr:colOff>
      <xdr:row>44</xdr:row>
      <xdr:rowOff>19050</xdr:rowOff>
    </xdr:from>
    <xdr:to>
      <xdr:col>28</xdr:col>
      <xdr:colOff>152399</xdr:colOff>
      <xdr:row>48</xdr:row>
      <xdr:rowOff>23811</xdr:rowOff>
    </xdr:to>
    <xdr:graphicFrame macro="">
      <xdr:nvGraphicFramePr>
        <xdr:cNvPr id="12" name="Gráfico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26</xdr:col>
      <xdr:colOff>171449</xdr:colOff>
      <xdr:row>0</xdr:row>
      <xdr:rowOff>85725</xdr:rowOff>
    </xdr:from>
    <xdr:to>
      <xdr:col>33</xdr:col>
      <xdr:colOff>428625</xdr:colOff>
      <xdr:row>12</xdr:row>
      <xdr:rowOff>189224</xdr:rowOff>
    </xdr:to>
    <xdr:graphicFrame macro="">
      <xdr:nvGraphicFramePr>
        <xdr:cNvPr id="15" name="Gráfico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18</xdr:col>
      <xdr:colOff>143329</xdr:colOff>
      <xdr:row>13</xdr:row>
      <xdr:rowOff>8178</xdr:rowOff>
    </xdr:from>
    <xdr:to>
      <xdr:col>24</xdr:col>
      <xdr:colOff>249464</xdr:colOff>
      <xdr:row>13</xdr:row>
      <xdr:rowOff>185510</xdr:rowOff>
    </xdr:to>
    <xdr:pic>
      <xdr:nvPicPr>
        <xdr:cNvPr id="13" name="Imagen 12"/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64365" y="2493749"/>
          <a:ext cx="1766206" cy="177332"/>
        </a:xfrm>
        <a:prstGeom prst="rect">
          <a:avLst/>
        </a:prstGeom>
      </xdr:spPr>
    </xdr:pic>
    <xdr:clientData/>
  </xdr:twoCellAnchor>
  <xdr:twoCellAnchor editAs="oneCell">
    <xdr:from>
      <xdr:col>5</xdr:col>
      <xdr:colOff>20865</xdr:colOff>
      <xdr:row>13</xdr:row>
      <xdr:rowOff>7724</xdr:rowOff>
    </xdr:from>
    <xdr:to>
      <xdr:col>11</xdr:col>
      <xdr:colOff>127000</xdr:colOff>
      <xdr:row>13</xdr:row>
      <xdr:rowOff>185056</xdr:rowOff>
    </xdr:to>
    <xdr:pic>
      <xdr:nvPicPr>
        <xdr:cNvPr id="16" name="Imagen 15"/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9615" y="2493749"/>
          <a:ext cx="1763485" cy="1773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Personalizado 1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B381D9"/>
      </a:accent1>
      <a:accent2>
        <a:srgbClr val="6DD9FF"/>
      </a:accent2>
      <a:accent3>
        <a:srgbClr val="93FFC4"/>
      </a:accent3>
      <a:accent4>
        <a:srgbClr val="FFFFD1"/>
      </a:accent4>
      <a:accent5>
        <a:srgbClr val="FFC000"/>
      </a:accent5>
      <a:accent6>
        <a:srgbClr val="FFCCFF"/>
      </a:accent6>
      <a:hlink>
        <a:srgbClr val="D9B28B"/>
      </a:hlink>
      <a:folHlink>
        <a:srgbClr val="BFBFBF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2:AK51"/>
  <sheetViews>
    <sheetView tabSelected="1" zoomScaleNormal="100" workbookViewId="0">
      <selection activeCell="E2" sqref="E2"/>
    </sheetView>
  </sheetViews>
  <sheetFormatPr baseColWidth="10" defaultRowHeight="15" x14ac:dyDescent="0.25"/>
  <cols>
    <col min="1" max="1" width="3.140625" style="1" customWidth="1"/>
    <col min="2" max="2" width="3.140625" style="7" customWidth="1"/>
    <col min="3" max="4" width="3.140625" style="13" customWidth="1"/>
    <col min="5" max="5" width="8.85546875" style="1" customWidth="1"/>
    <col min="6" max="25" width="4.140625" style="1" customWidth="1"/>
    <col min="26" max="27" width="3.140625" style="1" customWidth="1"/>
    <col min="28" max="28" width="6" style="1" customWidth="1"/>
    <col min="29" max="29" width="5.42578125" style="2" customWidth="1"/>
    <col min="30" max="30" width="7.140625" style="1" customWidth="1"/>
    <col min="31" max="31" width="5.42578125" style="2" customWidth="1"/>
    <col min="32" max="32" width="7.140625" style="1" customWidth="1"/>
    <col min="33" max="33" width="5.42578125" style="1" customWidth="1"/>
    <col min="34" max="34" width="7.140625" style="1" customWidth="1"/>
    <col min="35" max="35" width="5.42578125" style="1" customWidth="1"/>
    <col min="36" max="36" width="7.140625" style="1" customWidth="1"/>
    <col min="37" max="37" width="11.42578125" style="9"/>
    <col min="38" max="16384" width="11.42578125" style="1"/>
  </cols>
  <sheetData>
    <row r="2" spans="1:37" x14ac:dyDescent="0.25">
      <c r="A2" s="11"/>
      <c r="C2" s="11"/>
      <c r="D2" s="11"/>
      <c r="E2" s="8"/>
      <c r="F2" s="14" t="str">
        <f>IF(COUNTA(E2)&gt;0,"Llene las Casillas activadas con los nombres y los códigos que utilizará para cada Eje. "," Indique aquí el numero de Ejes que Utilizará.")</f>
        <v xml:space="preserve"> Indique aquí el numero de Ejes que Utilizará.</v>
      </c>
      <c r="G2" s="14"/>
      <c r="H2" s="14"/>
      <c r="I2" s="14"/>
      <c r="J2" s="14"/>
      <c r="K2" s="14"/>
      <c r="L2" s="14"/>
      <c r="M2" s="14"/>
      <c r="N2" s="11"/>
      <c r="W2" s="11"/>
      <c r="X2" s="11"/>
      <c r="Y2" s="11"/>
      <c r="AK2" s="1"/>
    </row>
    <row r="3" spans="1:37" x14ac:dyDescent="0.25">
      <c r="A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AK3" s="1"/>
    </row>
    <row r="4" spans="1:37" x14ac:dyDescent="0.25">
      <c r="A4" s="11"/>
      <c r="C4" s="26"/>
      <c r="D4" s="26"/>
      <c r="E4" s="27"/>
      <c r="F4" s="27"/>
      <c r="G4" s="27"/>
      <c r="H4" s="27"/>
      <c r="I4" s="27"/>
      <c r="J4" s="27"/>
      <c r="K4" s="27"/>
      <c r="L4" s="27"/>
      <c r="M4" s="24" t="str">
        <f>IF(E2&gt;0,(SUM(C16,C19,C22,C25,C28,C31,C34,C37,C40,C43,C46)/440),"")</f>
        <v/>
      </c>
      <c r="N4" s="24"/>
      <c r="O4" s="11"/>
      <c r="P4" s="20"/>
      <c r="Q4" s="25"/>
      <c r="R4" s="25"/>
      <c r="S4" s="25"/>
      <c r="T4" s="25"/>
      <c r="U4" s="25"/>
      <c r="V4" s="25"/>
      <c r="W4" s="25"/>
      <c r="X4" s="25"/>
      <c r="Y4" s="24" t="str">
        <f>IF(E2&gt;2,(SUM(D16,D19,D22,D25,D28,D31,D34,D37,D40,D43,D46)/440),"")</f>
        <v/>
      </c>
      <c r="Z4" s="24"/>
      <c r="AK4" s="1"/>
    </row>
    <row r="5" spans="1:37" x14ac:dyDescent="0.25">
      <c r="A5" s="11"/>
      <c r="M5" s="11"/>
      <c r="N5" s="11"/>
      <c r="O5" s="11"/>
      <c r="P5" s="11"/>
      <c r="Y5" s="11"/>
      <c r="Z5" s="11"/>
      <c r="AK5" s="1"/>
    </row>
    <row r="6" spans="1:37" x14ac:dyDescent="0.25">
      <c r="A6" s="11"/>
      <c r="C6" s="26"/>
      <c r="D6" s="26"/>
      <c r="E6" s="25"/>
      <c r="F6" s="25"/>
      <c r="G6" s="25"/>
      <c r="H6" s="25"/>
      <c r="I6" s="25"/>
      <c r="J6" s="25"/>
      <c r="K6" s="25"/>
      <c r="L6" s="25"/>
      <c r="M6" s="24" t="str">
        <f>IF(E2&gt;1,(SUM(C17,C20,C23,C26,C29,C32,C35,C38,C41,C44,C47)/440),"")</f>
        <v/>
      </c>
      <c r="N6" s="24"/>
      <c r="O6" s="11"/>
      <c r="P6" s="20"/>
      <c r="Q6" s="25"/>
      <c r="R6" s="25"/>
      <c r="S6" s="25"/>
      <c r="T6" s="25"/>
      <c r="U6" s="25"/>
      <c r="V6" s="25"/>
      <c r="W6" s="25"/>
      <c r="X6" s="25"/>
      <c r="Y6" s="24" t="str">
        <f>IF(E2&gt;3,(SUM(D17,D20,D23,D26,D29,D32,D35,D38,D41,D44,D47)/440),"")</f>
        <v/>
      </c>
      <c r="Z6" s="24"/>
      <c r="AK6" s="1"/>
    </row>
    <row r="7" spans="1:37" x14ac:dyDescent="0.25">
      <c r="A7" s="11"/>
      <c r="M7" s="11"/>
      <c r="N7" s="11"/>
      <c r="O7" s="11"/>
      <c r="P7" s="11"/>
      <c r="Y7" s="11"/>
      <c r="Z7" s="11"/>
      <c r="AK7" s="1"/>
    </row>
    <row r="8" spans="1:37" x14ac:dyDescent="0.25">
      <c r="A8" s="11"/>
      <c r="C8" s="26"/>
      <c r="D8" s="26"/>
      <c r="E8" s="25"/>
      <c r="F8" s="25"/>
      <c r="G8" s="25"/>
      <c r="H8" s="25"/>
      <c r="I8" s="25"/>
      <c r="J8" s="25"/>
      <c r="K8" s="25"/>
      <c r="L8" s="25"/>
      <c r="M8" s="24" t="str">
        <f>IF(E2&gt;4,(SUM(B16,B19,B22,B25,B28,B31,B34,B37,B40,B43,B46)/440),"")</f>
        <v/>
      </c>
      <c r="N8" s="24"/>
      <c r="O8" s="11"/>
      <c r="P8" s="20"/>
      <c r="Q8" s="25"/>
      <c r="R8" s="25"/>
      <c r="S8" s="25"/>
      <c r="T8" s="25"/>
      <c r="U8" s="25"/>
      <c r="V8" s="25"/>
      <c r="W8" s="25"/>
      <c r="X8" s="25"/>
      <c r="Y8" s="24" t="str">
        <f>IF(E2&gt;6,(SUM(A16,A19,A22,A25,A28,A31,A34,A37,A40,A43,A46)/440),"")</f>
        <v/>
      </c>
      <c r="Z8" s="24"/>
      <c r="AG8" s="22"/>
      <c r="AH8" s="22"/>
      <c r="AI8" s="18"/>
      <c r="AK8" s="1"/>
    </row>
    <row r="9" spans="1:37" x14ac:dyDescent="0.25">
      <c r="A9" s="11"/>
      <c r="C9" s="7"/>
      <c r="D9" s="7"/>
      <c r="O9" s="11"/>
      <c r="P9" s="11"/>
      <c r="Y9" s="11"/>
      <c r="Z9" s="11"/>
      <c r="AI9" s="18"/>
      <c r="AK9" s="1"/>
    </row>
    <row r="10" spans="1:37" x14ac:dyDescent="0.25">
      <c r="A10" s="11"/>
      <c r="C10" s="26"/>
      <c r="D10" s="26"/>
      <c r="E10" s="25"/>
      <c r="F10" s="25"/>
      <c r="G10" s="25"/>
      <c r="H10" s="25"/>
      <c r="I10" s="25"/>
      <c r="J10" s="25"/>
      <c r="K10" s="25"/>
      <c r="L10" s="25"/>
      <c r="M10" s="24" t="str">
        <f>IF(E2&gt;5,(SUM(B17,B20,B23,B26,B29,B32,B35,B38,B41,B44,B47)/440),"")</f>
        <v/>
      </c>
      <c r="N10" s="24"/>
      <c r="O10" s="11"/>
      <c r="P10" s="20"/>
      <c r="Q10" s="25"/>
      <c r="R10" s="25"/>
      <c r="S10" s="25"/>
      <c r="T10" s="25"/>
      <c r="U10" s="25"/>
      <c r="V10" s="25"/>
      <c r="W10" s="25"/>
      <c r="X10" s="25"/>
      <c r="Y10" s="24" t="str">
        <f>IF(E2&gt;7,(SUM(A17,A20,A23,A26,A29,A32,A35,A38,A41,A44,A47)/440),"")</f>
        <v/>
      </c>
      <c r="Z10" s="24"/>
      <c r="AK10" s="1"/>
    </row>
    <row r="11" spans="1:37" x14ac:dyDescent="0.25">
      <c r="A11" s="11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K11" s="1"/>
    </row>
    <row r="12" spans="1:37" x14ac:dyDescent="0.25">
      <c r="A12" s="11"/>
      <c r="C12" s="11"/>
      <c r="D12" s="11"/>
      <c r="E12" s="21" t="str">
        <f>IF(EJES&gt;1,IF(COUNTA(E6)&gt;0,IF(COUNTA(EJES2)&gt;0,"A continuación, llene cada una de las 10 Casillas por periodo, con el respectivo córdigo.","Por favor, asigne un código de máximo 3 letras a los Ejes correspondientes."),IF(COUNTA(EJES2)&gt;0,IF(COUNTA(E6)&gt;0,"A continuación, llene cada una de las 10 Casillas por periodo, con el respectivo córdigo.","Por favor antes de crear los códigos, primero redacte los Ejes correspondientes."),"Por favor, ahora redacte los Ejes correspondientes.")),IF(EJES&gt;0,IF(COUNTA(E4)&gt;0,IF(COUNTA(EJES1)&gt;0,"A continuación, llene cada una de las 10 Casillas por periodo, con el respectivo córdigo.","Por favor, asigne un código de máximo 3 letras al Eje correspondiente."),IF(COUNTA(EJES1)&gt;0,IF(COUNTA(E4)&gt;0,"A continuación, llene cada una de las 10 Casillas por periodo, con el respectivo córdigo.","Por favor antes de crear el código, primero redacte el Eje correspondiente."),"Por favor, ahora redacte el Eje correspondiente.")),""))</f>
        <v/>
      </c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11"/>
      <c r="Z12" s="11"/>
      <c r="AA12" s="11"/>
      <c r="AK12" s="1"/>
    </row>
    <row r="13" spans="1:37" ht="15.75" customHeight="1" x14ac:dyDescent="0.25">
      <c r="A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AK13" s="1"/>
    </row>
    <row r="14" spans="1:37" x14ac:dyDescent="0.25">
      <c r="A14" s="17"/>
      <c r="B14" s="13"/>
      <c r="E14" s="4"/>
      <c r="F14" s="28" t="s">
        <v>1</v>
      </c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AK14" s="1"/>
    </row>
    <row r="15" spans="1:37" x14ac:dyDescent="0.25">
      <c r="A15" s="3"/>
      <c r="B15" s="10"/>
      <c r="C15" s="10"/>
      <c r="D15" s="10"/>
      <c r="E15" s="12" t="s">
        <v>0</v>
      </c>
      <c r="F15" s="29" t="s">
        <v>2</v>
      </c>
      <c r="G15" s="29"/>
      <c r="H15" s="29"/>
      <c r="I15" s="29"/>
      <c r="J15" s="29"/>
      <c r="K15" s="23" t="s">
        <v>3</v>
      </c>
      <c r="L15" s="23"/>
      <c r="M15" s="23"/>
      <c r="N15" s="23"/>
      <c r="O15" s="23"/>
      <c r="P15" s="23" t="s">
        <v>4</v>
      </c>
      <c r="Q15" s="23"/>
      <c r="R15" s="23"/>
      <c r="S15" s="23"/>
      <c r="T15" s="23"/>
      <c r="U15" s="23" t="s">
        <v>5</v>
      </c>
      <c r="V15" s="23"/>
      <c r="W15" s="23"/>
      <c r="X15" s="23"/>
      <c r="Y15" s="23"/>
      <c r="AD15" s="5"/>
      <c r="AE15" s="5"/>
      <c r="AK15" s="1"/>
    </row>
    <row r="16" spans="1:37" ht="15" customHeight="1" x14ac:dyDescent="0.25">
      <c r="A16" s="6">
        <f>COUNTIF(F16:Y17,EJES7)</f>
        <v>0</v>
      </c>
      <c r="B16" s="10">
        <f>COUNTIF(F16:Y17,EJES5)</f>
        <v>0</v>
      </c>
      <c r="C16" s="10">
        <f>COUNTIF(F16:Y17,EJES1)</f>
        <v>0</v>
      </c>
      <c r="D16" s="10">
        <f>COUNTIF(F16:Y17,EJES3)</f>
        <v>0</v>
      </c>
      <c r="E16" s="30">
        <v>1</v>
      </c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AC16" s="2" t="str">
        <f>IF(EJES&gt;0,EJES1,"")</f>
        <v/>
      </c>
      <c r="AD16" s="16" t="str">
        <f>IF(EJES&gt;0,(C16/40),"")</f>
        <v/>
      </c>
      <c r="AE16" s="7" t="str">
        <f>IF(EJES&gt;2,EJES3,"")</f>
        <v/>
      </c>
      <c r="AF16" s="15" t="str">
        <f>IF(EJES&gt;2,(D16/40),"")</f>
        <v/>
      </c>
      <c r="AG16" s="2" t="str">
        <f>IF(EJES&gt;4,EJES5,"")</f>
        <v/>
      </c>
      <c r="AH16" s="16" t="str">
        <f>IF(EJES&gt;4,(B16/40),"")</f>
        <v/>
      </c>
      <c r="AI16" s="7" t="str">
        <f>IF(EJES&gt;6,EJES7,"")</f>
        <v/>
      </c>
      <c r="AJ16" s="15" t="str">
        <f>IF(EJES&gt;6,(A16/40),"")</f>
        <v/>
      </c>
      <c r="AK16" s="1"/>
    </row>
    <row r="17" spans="1:37" ht="15" customHeight="1" x14ac:dyDescent="0.25">
      <c r="A17" s="6">
        <f>COUNTIF(F16:Y17,EJES8)</f>
        <v>0</v>
      </c>
      <c r="B17" s="10">
        <f>COUNTIF(F16:Y17,EJES6)</f>
        <v>0</v>
      </c>
      <c r="C17" s="10">
        <f>COUNTIF(F16:Y17,EJES2)</f>
        <v>0</v>
      </c>
      <c r="D17" s="10">
        <f>COUNTIF(F16:Y17,EJES4)</f>
        <v>0</v>
      </c>
      <c r="E17" s="30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AC17" s="2" t="str">
        <f>IF(EJES&gt;1,EJES2,"")</f>
        <v/>
      </c>
      <c r="AD17" s="16" t="str">
        <f>IF(EJES&gt;1,(C17/40),"")</f>
        <v/>
      </c>
      <c r="AE17" s="7" t="str">
        <f>IF(EJES&gt;3,EJES4,"")</f>
        <v/>
      </c>
      <c r="AF17" s="15" t="str">
        <f>IF(EJES&gt;3,(D17/40),"")</f>
        <v/>
      </c>
      <c r="AG17" s="2" t="str">
        <f>IF(EJES&gt;5,EJES6,"")</f>
        <v/>
      </c>
      <c r="AH17" s="16" t="str">
        <f>IF(EJES&gt;5,(B17/40),"")</f>
        <v/>
      </c>
      <c r="AI17" s="7" t="str">
        <f>IF(EJES&gt;7,EJES8,"")</f>
        <v/>
      </c>
      <c r="AJ17" s="15" t="str">
        <f>IF(EJES&gt;7,(A17/40),"")</f>
        <v/>
      </c>
      <c r="AK17" s="1"/>
    </row>
    <row r="18" spans="1:37" x14ac:dyDescent="0.25">
      <c r="A18" s="3"/>
      <c r="B18" s="10"/>
      <c r="C18" s="10"/>
      <c r="D18" s="10"/>
      <c r="E18" s="10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AK18" s="1"/>
    </row>
    <row r="19" spans="1:37" ht="15" customHeight="1" x14ac:dyDescent="0.25">
      <c r="A19" s="6">
        <f>COUNTIF(F19:Y20,EJES7)</f>
        <v>0</v>
      </c>
      <c r="B19" s="10">
        <f>COUNTIF(F19:Y20,EJES5)</f>
        <v>0</v>
      </c>
      <c r="C19" s="10">
        <f>COUNTIF(F19:Y20,EJES1)</f>
        <v>0</v>
      </c>
      <c r="D19" s="10">
        <f>COUNTIF(F19:Y20,EJES3)</f>
        <v>0</v>
      </c>
      <c r="E19" s="30">
        <v>2</v>
      </c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AC19" s="2" t="str">
        <f>IF(EJES&gt;0,EJES1,"")</f>
        <v/>
      </c>
      <c r="AD19" s="16" t="str">
        <f>IF(EJES&gt;0,(C19/40),"")</f>
        <v/>
      </c>
      <c r="AE19" s="7" t="str">
        <f>IF(EJES&gt;2,EJES3,"")</f>
        <v/>
      </c>
      <c r="AF19" s="15" t="str">
        <f>IF(EJES&gt;2,(D19/40),"")</f>
        <v/>
      </c>
      <c r="AG19" s="2" t="str">
        <f>IF(EJES&gt;4,EJES5,"")</f>
        <v/>
      </c>
      <c r="AH19" s="16" t="str">
        <f>IF(EJES&gt;4,(B19/40),"")</f>
        <v/>
      </c>
      <c r="AI19" s="7" t="str">
        <f>IF(EJES&gt;6,EJES7,"")</f>
        <v/>
      </c>
      <c r="AJ19" s="15" t="str">
        <f>IF(EJES&gt;6,(A19/40),"")</f>
        <v/>
      </c>
      <c r="AK19" s="1"/>
    </row>
    <row r="20" spans="1:37" ht="15" customHeight="1" x14ac:dyDescent="0.25">
      <c r="A20" s="6">
        <f>COUNTIF(F19:Y20,EJES8)</f>
        <v>0</v>
      </c>
      <c r="B20" s="10">
        <f>COUNTIF(F19:Y20,EJES6)</f>
        <v>0</v>
      </c>
      <c r="C20" s="10">
        <f>COUNTIF(F19:Y20,EJES2)</f>
        <v>0</v>
      </c>
      <c r="D20" s="10">
        <f>COUNTIF(F19:Y20,EJES4)</f>
        <v>0</v>
      </c>
      <c r="E20" s="30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AC20" s="2" t="str">
        <f>IF(EJES&gt;1,EJES2,"")</f>
        <v/>
      </c>
      <c r="AD20" s="16" t="str">
        <f>IF(EJES&gt;1,(C20/40),"")</f>
        <v/>
      </c>
      <c r="AE20" s="7" t="str">
        <f>IF(EJES&gt;3,EJES4,"")</f>
        <v/>
      </c>
      <c r="AF20" s="15" t="str">
        <f>IF(EJES&gt;3,(D20/40),"")</f>
        <v/>
      </c>
      <c r="AG20" s="2" t="str">
        <f>IF(EJES&gt;5,EJES6,"")</f>
        <v/>
      </c>
      <c r="AH20" s="16" t="str">
        <f>IF(EJES&gt;5,(B20/40),"")</f>
        <v/>
      </c>
      <c r="AI20" s="7" t="str">
        <f>IF(EJES&gt;7,EJES8,"")</f>
        <v/>
      </c>
      <c r="AJ20" s="15" t="str">
        <f>IF(EJES&gt;7,(A20/40),"")</f>
        <v/>
      </c>
      <c r="AK20" s="1"/>
    </row>
    <row r="21" spans="1:37" x14ac:dyDescent="0.25">
      <c r="A21" s="3"/>
      <c r="B21" s="10"/>
      <c r="C21" s="10"/>
      <c r="D21" s="10"/>
      <c r="E21" s="10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AK21" s="1"/>
    </row>
    <row r="22" spans="1:37" ht="15" customHeight="1" x14ac:dyDescent="0.25">
      <c r="A22" s="6">
        <f>COUNTIF(F22:Y23,EJES7)</f>
        <v>0</v>
      </c>
      <c r="B22" s="10">
        <f>COUNTIF(F22:Y23,EJES5)</f>
        <v>0</v>
      </c>
      <c r="C22" s="10">
        <f>COUNTIF(F22:Y23,EJES1)</f>
        <v>0</v>
      </c>
      <c r="D22" s="10">
        <f>COUNTIF(F22:Y23,EJES3)</f>
        <v>0</v>
      </c>
      <c r="E22" s="30">
        <v>3</v>
      </c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AC22" s="2" t="str">
        <f>IF(EJES&gt;0,EJES1,"")</f>
        <v/>
      </c>
      <c r="AD22" s="16" t="str">
        <f>IF(EJES&gt;0,(C22/40),"")</f>
        <v/>
      </c>
      <c r="AE22" s="7" t="str">
        <f>IF(EJES&gt;2,EJES3,"")</f>
        <v/>
      </c>
      <c r="AF22" s="15" t="str">
        <f>IF(EJES&gt;2,(D22/40),"")</f>
        <v/>
      </c>
      <c r="AG22" s="2" t="str">
        <f>IF(EJES&gt;4,EJES5,"")</f>
        <v/>
      </c>
      <c r="AH22" s="16" t="str">
        <f>IF(EJES&gt;4,(B22/40),"")</f>
        <v/>
      </c>
      <c r="AI22" s="7" t="str">
        <f>IF(EJES&gt;6,EJES7,"")</f>
        <v/>
      </c>
      <c r="AJ22" s="15" t="str">
        <f>IF(EJES&gt;6,(A22/40),"")</f>
        <v/>
      </c>
      <c r="AK22" s="1"/>
    </row>
    <row r="23" spans="1:37" ht="15" customHeight="1" x14ac:dyDescent="0.25">
      <c r="A23" s="6">
        <f>COUNTIF(F22:Y23,EJES8)</f>
        <v>0</v>
      </c>
      <c r="B23" s="10">
        <f>COUNTIF(F22:Y23,EJES6)</f>
        <v>0</v>
      </c>
      <c r="C23" s="10">
        <f>COUNTIF(F22:Y23,EJES2)</f>
        <v>0</v>
      </c>
      <c r="D23" s="10">
        <f>COUNTIF(F22:Y23,EJES4)</f>
        <v>0</v>
      </c>
      <c r="E23" s="30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AC23" s="2" t="str">
        <f>IF(EJES&gt;1,EJES2,"")</f>
        <v/>
      </c>
      <c r="AD23" s="16" t="str">
        <f>IF(EJES&gt;1,(C23/40),"")</f>
        <v/>
      </c>
      <c r="AE23" s="7" t="str">
        <f>IF(EJES&gt;3,EJES4,"")</f>
        <v/>
      </c>
      <c r="AF23" s="15" t="str">
        <f>IF(EJES&gt;3,(D23/40),"")</f>
        <v/>
      </c>
      <c r="AG23" s="2" t="str">
        <f>IF(EJES&gt;5,EJES6,"")</f>
        <v/>
      </c>
      <c r="AH23" s="16" t="str">
        <f>IF(EJES&gt;5,(B23/40),"")</f>
        <v/>
      </c>
      <c r="AI23" s="7" t="str">
        <f>IF(EJES&gt;7,EJES8,"")</f>
        <v/>
      </c>
      <c r="AJ23" s="15" t="str">
        <f>IF(EJES&gt;7,(A23/40),"")</f>
        <v/>
      </c>
      <c r="AK23" s="1"/>
    </row>
    <row r="24" spans="1:37" x14ac:dyDescent="0.25">
      <c r="A24" s="3"/>
      <c r="B24" s="10"/>
      <c r="C24" s="10"/>
      <c r="D24" s="10"/>
      <c r="E24" s="10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AK24" s="1"/>
    </row>
    <row r="25" spans="1:37" ht="15" customHeight="1" x14ac:dyDescent="0.25">
      <c r="A25" s="6">
        <f>COUNTIF(F25:Y26,EJES7)</f>
        <v>0</v>
      </c>
      <c r="B25" s="10">
        <f>COUNTIF(F25:Y26,EJES5)</f>
        <v>0</v>
      </c>
      <c r="C25" s="10">
        <f>COUNTIF(F25:Y26,EJES1)</f>
        <v>0</v>
      </c>
      <c r="D25" s="10">
        <f>COUNTIF(F25:Y26,EJES3)</f>
        <v>0</v>
      </c>
      <c r="E25" s="30">
        <v>4</v>
      </c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AC25" s="2" t="str">
        <f>IF(EJES&gt;0,EJES1,"")</f>
        <v/>
      </c>
      <c r="AD25" s="16" t="str">
        <f>IF(EJES&gt;0,(C25/40),"")</f>
        <v/>
      </c>
      <c r="AE25" s="7" t="str">
        <f>IF(EJES&gt;2,EJES3,"")</f>
        <v/>
      </c>
      <c r="AF25" s="15" t="str">
        <f>IF(EJES&gt;2,(D25/40),"")</f>
        <v/>
      </c>
      <c r="AG25" s="2" t="str">
        <f>IF(EJES&gt;4,EJES5,"")</f>
        <v/>
      </c>
      <c r="AH25" s="16" t="str">
        <f>IF(EJES&gt;4,(B25/40),"")</f>
        <v/>
      </c>
      <c r="AI25" s="7" t="str">
        <f>IF(EJES&gt;6,EJES7,"")</f>
        <v/>
      </c>
      <c r="AJ25" s="15" t="str">
        <f>IF(EJES&gt;6,(A25/40),"")</f>
        <v/>
      </c>
      <c r="AK25" s="1"/>
    </row>
    <row r="26" spans="1:37" ht="15" customHeight="1" x14ac:dyDescent="0.25">
      <c r="A26" s="6">
        <f>COUNTIF(F25:Y26,EJES8)</f>
        <v>0</v>
      </c>
      <c r="B26" s="10">
        <f>COUNTIF(F25:Y26,EJES6)</f>
        <v>0</v>
      </c>
      <c r="C26" s="10">
        <f>COUNTIF(F25:Y26,EJES2)</f>
        <v>0</v>
      </c>
      <c r="D26" s="10">
        <f>COUNTIF(F25:Y26,EJES4)</f>
        <v>0</v>
      </c>
      <c r="E26" s="30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AC26" s="2" t="str">
        <f>IF(EJES&gt;1,EJES2,"")</f>
        <v/>
      </c>
      <c r="AD26" s="16" t="str">
        <f>IF(EJES&gt;1,(C26/40),"")</f>
        <v/>
      </c>
      <c r="AE26" s="7" t="str">
        <f>IF(EJES&gt;3,EJES4,"")</f>
        <v/>
      </c>
      <c r="AF26" s="15" t="str">
        <f>IF(EJES&gt;3,(D26/40),"")</f>
        <v/>
      </c>
      <c r="AG26" s="2" t="str">
        <f>IF(EJES&gt;5,EJES6,"")</f>
        <v/>
      </c>
      <c r="AH26" s="16" t="str">
        <f>IF(EJES&gt;5,(B26/40),"")</f>
        <v/>
      </c>
      <c r="AI26" s="7" t="str">
        <f>IF(EJES&gt;7,EJES8,"")</f>
        <v/>
      </c>
      <c r="AJ26" s="15" t="str">
        <f>IF(EJES&gt;7,(A26/40),"")</f>
        <v/>
      </c>
      <c r="AK26" s="1"/>
    </row>
    <row r="27" spans="1:37" x14ac:dyDescent="0.25">
      <c r="A27" s="3"/>
      <c r="B27" s="10"/>
      <c r="C27" s="10"/>
      <c r="D27" s="10"/>
      <c r="E27" s="10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AK27" s="1"/>
    </row>
    <row r="28" spans="1:37" ht="15" customHeight="1" x14ac:dyDescent="0.25">
      <c r="A28" s="6">
        <f>COUNTIF(F28:Y29,EJES7)</f>
        <v>0</v>
      </c>
      <c r="B28" s="10">
        <f>COUNTIF(F28:Y29,EJES5)</f>
        <v>0</v>
      </c>
      <c r="C28" s="10">
        <f>COUNTIF(F28:Y29,EJES1)</f>
        <v>0</v>
      </c>
      <c r="D28" s="10">
        <f>COUNTIF(F28:Y29,EJES3)</f>
        <v>0</v>
      </c>
      <c r="E28" s="30">
        <v>5</v>
      </c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AC28" s="2" t="str">
        <f>IF(EJES&gt;0,EJES1,"")</f>
        <v/>
      </c>
      <c r="AD28" s="16" t="str">
        <f>IF(EJES&gt;0,(C28/40),"")</f>
        <v/>
      </c>
      <c r="AE28" s="7" t="str">
        <f>IF(EJES&gt;2,EJES3,"")</f>
        <v/>
      </c>
      <c r="AF28" s="15" t="str">
        <f>IF(EJES&gt;2,(D28/40),"")</f>
        <v/>
      </c>
      <c r="AG28" s="2" t="str">
        <f>IF(EJES&gt;4,EJES5,"")</f>
        <v/>
      </c>
      <c r="AH28" s="16" t="str">
        <f>IF(EJES&gt;4,(B28/40),"")</f>
        <v/>
      </c>
      <c r="AI28" s="7" t="str">
        <f>IF(EJES&gt;6,EJES7,"")</f>
        <v/>
      </c>
      <c r="AJ28" s="15" t="str">
        <f>IF(EJES&gt;6,(A28/40),"")</f>
        <v/>
      </c>
      <c r="AK28" s="1"/>
    </row>
    <row r="29" spans="1:37" ht="15" customHeight="1" x14ac:dyDescent="0.25">
      <c r="A29" s="6">
        <f>COUNTIF(F28:Y29,EJES8)</f>
        <v>0</v>
      </c>
      <c r="B29" s="10">
        <f>COUNTIF(F28:Y29,EJES6)</f>
        <v>0</v>
      </c>
      <c r="C29" s="10">
        <f>COUNTIF(F28:Y29,EJES2)</f>
        <v>0</v>
      </c>
      <c r="D29" s="10">
        <f>COUNTIF(F28:Y29,EJES4)</f>
        <v>0</v>
      </c>
      <c r="E29" s="30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AC29" s="2" t="str">
        <f>IF(EJES&gt;1,EJES2,"")</f>
        <v/>
      </c>
      <c r="AD29" s="16" t="str">
        <f>IF(EJES&gt;1,(C29/40),"")</f>
        <v/>
      </c>
      <c r="AE29" s="7" t="str">
        <f>IF(EJES&gt;3,EJES4,"")</f>
        <v/>
      </c>
      <c r="AF29" s="15" t="str">
        <f>IF(EJES&gt;3,(D29/40),"")</f>
        <v/>
      </c>
      <c r="AG29" s="2" t="str">
        <f>IF(EJES&gt;5,EJES6,"")</f>
        <v/>
      </c>
      <c r="AH29" s="16" t="str">
        <f>IF(EJES&gt;5,(B29/40),"")</f>
        <v/>
      </c>
      <c r="AI29" s="7" t="str">
        <f>IF(EJES&gt;7,EJES8,"")</f>
        <v/>
      </c>
      <c r="AJ29" s="15" t="str">
        <f>IF(EJES&gt;7,(A29/40),"")</f>
        <v/>
      </c>
      <c r="AK29" s="1"/>
    </row>
    <row r="30" spans="1:37" x14ac:dyDescent="0.25">
      <c r="A30" s="3"/>
      <c r="B30" s="10"/>
      <c r="C30" s="10"/>
      <c r="D30" s="10"/>
      <c r="E30" s="10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AK30" s="1"/>
    </row>
    <row r="31" spans="1:37" ht="15" customHeight="1" x14ac:dyDescent="0.25">
      <c r="A31" s="6">
        <f>COUNTIF(F31:Y32,EJES7)</f>
        <v>0</v>
      </c>
      <c r="B31" s="10">
        <f>COUNTIF(F31:Y32,EJES5)</f>
        <v>0</v>
      </c>
      <c r="C31" s="10">
        <f>COUNTIF(F31:Y32,EJES1)</f>
        <v>0</v>
      </c>
      <c r="D31" s="10">
        <f>COUNTIF(F31:Y32,EJES3)</f>
        <v>0</v>
      </c>
      <c r="E31" s="30">
        <v>6</v>
      </c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AC31" s="2" t="str">
        <f>IF(EJES&gt;0,EJES1,"")</f>
        <v/>
      </c>
      <c r="AD31" s="16" t="str">
        <f>IF(EJES&gt;0,(C31/40),"")</f>
        <v/>
      </c>
      <c r="AE31" s="7" t="str">
        <f>IF(EJES&gt;2,EJES3,"")</f>
        <v/>
      </c>
      <c r="AF31" s="15" t="str">
        <f>IF(EJES&gt;2,(D31/40),"")</f>
        <v/>
      </c>
      <c r="AG31" s="2" t="str">
        <f>IF(EJES&gt;4,EJES5,"")</f>
        <v/>
      </c>
      <c r="AH31" s="16" t="str">
        <f>IF(EJES&gt;4,(B31/40),"")</f>
        <v/>
      </c>
      <c r="AI31" s="7" t="str">
        <f>IF(EJES&gt;6,EJES7,"")</f>
        <v/>
      </c>
      <c r="AJ31" s="15" t="str">
        <f>IF(EJES&gt;6,(A31/40),"")</f>
        <v/>
      </c>
      <c r="AK31" s="1"/>
    </row>
    <row r="32" spans="1:37" ht="15" customHeight="1" x14ac:dyDescent="0.25">
      <c r="A32" s="6">
        <f>COUNTIF(F31:Y32,EJES8)</f>
        <v>0</v>
      </c>
      <c r="B32" s="10">
        <f>COUNTIF(F31:Y32,EJES6)</f>
        <v>0</v>
      </c>
      <c r="C32" s="10">
        <f>COUNTIF(F31:Y32,EJES2)</f>
        <v>0</v>
      </c>
      <c r="D32" s="10">
        <f>COUNTIF(F31:Y32,EJES4)</f>
        <v>0</v>
      </c>
      <c r="E32" s="30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AC32" s="2" t="str">
        <f>IF(EJES&gt;1,EJES2,"")</f>
        <v/>
      </c>
      <c r="AD32" s="16" t="str">
        <f>IF(EJES&gt;1,(C32/40),"")</f>
        <v/>
      </c>
      <c r="AE32" s="7" t="str">
        <f>IF(EJES&gt;3,EJES4,"")</f>
        <v/>
      </c>
      <c r="AF32" s="15" t="str">
        <f>IF(EJES&gt;3,(D32/40),"")</f>
        <v/>
      </c>
      <c r="AG32" s="2" t="str">
        <f>IF(EJES&gt;5,EJES6,"")</f>
        <v/>
      </c>
      <c r="AH32" s="16" t="str">
        <f>IF(EJES&gt;5,(B32/40),"")</f>
        <v/>
      </c>
      <c r="AI32" s="7" t="str">
        <f>IF(EJES&gt;7,EJES8,"")</f>
        <v/>
      </c>
      <c r="AJ32" s="15" t="str">
        <f>IF(EJES&gt;7,(A32/40),"")</f>
        <v/>
      </c>
      <c r="AK32" s="1"/>
    </row>
    <row r="33" spans="1:36" x14ac:dyDescent="0.25">
      <c r="A33" s="3"/>
      <c r="B33" s="10"/>
      <c r="C33" s="10"/>
      <c r="D33" s="10"/>
      <c r="E33" s="10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</row>
    <row r="34" spans="1:36" ht="15" customHeight="1" x14ac:dyDescent="0.25">
      <c r="A34" s="6">
        <f>COUNTIF(F34:Y35,EJES7)</f>
        <v>0</v>
      </c>
      <c r="B34" s="10">
        <f>COUNTIF(F34:Y35,EJES5)</f>
        <v>0</v>
      </c>
      <c r="C34" s="10">
        <f>COUNTIF(F34:Y35,EJES1)</f>
        <v>0</v>
      </c>
      <c r="D34" s="10">
        <f>COUNTIF(F34:Y35,EJES3)</f>
        <v>0</v>
      </c>
      <c r="E34" s="30">
        <v>7</v>
      </c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AC34" s="2" t="str">
        <f>IF(EJES&gt;0,EJES1,"")</f>
        <v/>
      </c>
      <c r="AD34" s="16" t="str">
        <f>IF(EJES&gt;0,(C34/40),"")</f>
        <v/>
      </c>
      <c r="AE34" s="7" t="str">
        <f>IF(EJES&gt;2,EJES3,"")</f>
        <v/>
      </c>
      <c r="AF34" s="15" t="str">
        <f>IF(EJES&gt;2,(D34/40),"")</f>
        <v/>
      </c>
      <c r="AG34" s="2" t="str">
        <f>IF(EJES&gt;4,EJES5,"")</f>
        <v/>
      </c>
      <c r="AH34" s="16" t="str">
        <f>IF(EJES&gt;4,(B34/40),"")</f>
        <v/>
      </c>
      <c r="AI34" s="7" t="str">
        <f>IF(EJES&gt;6,EJES7,"")</f>
        <v/>
      </c>
      <c r="AJ34" s="15" t="str">
        <f>IF(EJES&gt;6,(A34/40),"")</f>
        <v/>
      </c>
    </row>
    <row r="35" spans="1:36" ht="15" customHeight="1" x14ac:dyDescent="0.25">
      <c r="A35" s="6">
        <f>COUNTIF(F34:Y35,EJES8)</f>
        <v>0</v>
      </c>
      <c r="B35" s="10">
        <f>COUNTIF(F34:Y35,EJES6)</f>
        <v>0</v>
      </c>
      <c r="C35" s="10">
        <f>COUNTIF(F34:Y35,EJES2)</f>
        <v>0</v>
      </c>
      <c r="D35" s="10">
        <f>COUNTIF(F34:Y35,EJES4)</f>
        <v>0</v>
      </c>
      <c r="E35" s="30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AC35" s="2" t="str">
        <f>IF(EJES&gt;1,EJES2,"")</f>
        <v/>
      </c>
      <c r="AD35" s="16" t="str">
        <f>IF(EJES&gt;1,(C35/40),"")</f>
        <v/>
      </c>
      <c r="AE35" s="7" t="str">
        <f>IF(EJES&gt;3,EJES4,"")</f>
        <v/>
      </c>
      <c r="AF35" s="15" t="str">
        <f>IF(EJES&gt;3,(D35/40),"")</f>
        <v/>
      </c>
      <c r="AG35" s="2" t="str">
        <f>IF(EJES&gt;5,EJES6,"")</f>
        <v/>
      </c>
      <c r="AH35" s="16" t="str">
        <f>IF(EJES&gt;5,(B35/40),"")</f>
        <v/>
      </c>
      <c r="AI35" s="7" t="str">
        <f>IF(EJES&gt;7,EJES8,"")</f>
        <v/>
      </c>
      <c r="AJ35" s="15" t="str">
        <f>IF(EJES&gt;7,(A35/40),"")</f>
        <v/>
      </c>
    </row>
    <row r="36" spans="1:36" x14ac:dyDescent="0.25">
      <c r="A36" s="3"/>
      <c r="B36" s="10"/>
      <c r="C36" s="10"/>
      <c r="D36" s="10"/>
      <c r="E36" s="10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</row>
    <row r="37" spans="1:36" ht="15" customHeight="1" x14ac:dyDescent="0.25">
      <c r="A37" s="6">
        <f>COUNTIF(F37:Y38,EJES7)</f>
        <v>0</v>
      </c>
      <c r="B37" s="10">
        <f>COUNTIF(F37:Y38,EJES5)</f>
        <v>0</v>
      </c>
      <c r="C37" s="10">
        <f>COUNTIF(F37:Y38,EJES1)</f>
        <v>0</v>
      </c>
      <c r="D37" s="10">
        <f>COUNTIF(F37:Y38,EJES3)</f>
        <v>0</v>
      </c>
      <c r="E37" s="30">
        <v>8</v>
      </c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  <c r="V37" s="8"/>
      <c r="W37" s="8"/>
      <c r="X37" s="8"/>
      <c r="Y37" s="8"/>
      <c r="AC37" s="2" t="str">
        <f>IF(EJES&gt;0,EJES1,"")</f>
        <v/>
      </c>
      <c r="AD37" s="16" t="str">
        <f>IF(EJES&gt;0,(C37/40),"")</f>
        <v/>
      </c>
      <c r="AE37" s="7" t="str">
        <f>IF(EJES&gt;2,EJES3,"")</f>
        <v/>
      </c>
      <c r="AF37" s="15" t="str">
        <f>IF(EJES&gt;2,(D37/40),"")</f>
        <v/>
      </c>
      <c r="AG37" s="2" t="str">
        <f>IF(EJES&gt;4,EJES5,"")</f>
        <v/>
      </c>
      <c r="AH37" s="16" t="str">
        <f>IF(EJES&gt;4,(B37/40),"")</f>
        <v/>
      </c>
      <c r="AI37" s="7" t="str">
        <f>IF(EJES&gt;6,EJES7,"")</f>
        <v/>
      </c>
      <c r="AJ37" s="15" t="str">
        <f>IF(EJES&gt;6,(A37/40),"")</f>
        <v/>
      </c>
    </row>
    <row r="38" spans="1:36" ht="15" customHeight="1" x14ac:dyDescent="0.25">
      <c r="A38" s="6">
        <f>COUNTIF(F37:Y38,EJES8)</f>
        <v>0</v>
      </c>
      <c r="B38" s="10">
        <f>COUNTIF(F37:Y38,EJES6)</f>
        <v>0</v>
      </c>
      <c r="C38" s="10">
        <f>COUNTIF(F37:Y38,EJES2)</f>
        <v>0</v>
      </c>
      <c r="D38" s="10">
        <f>COUNTIF(F37:Y38,EJES4)</f>
        <v>0</v>
      </c>
      <c r="E38" s="30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AC38" s="2" t="str">
        <f>IF(EJES&gt;1,EJES2,"")</f>
        <v/>
      </c>
      <c r="AD38" s="16" t="str">
        <f>IF(EJES&gt;1,(C38/40),"")</f>
        <v/>
      </c>
      <c r="AE38" s="7" t="str">
        <f>IF(EJES&gt;3,EJES4,"")</f>
        <v/>
      </c>
      <c r="AF38" s="15" t="str">
        <f>IF(EJES&gt;3,(D38/40),"")</f>
        <v/>
      </c>
      <c r="AG38" s="2" t="str">
        <f>IF(EJES&gt;5,EJES6,"")</f>
        <v/>
      </c>
      <c r="AH38" s="16" t="str">
        <f>IF(EJES&gt;5,(B38/40),"")</f>
        <v/>
      </c>
      <c r="AI38" s="7" t="str">
        <f>IF(EJES&gt;7,EJES8,"")</f>
        <v/>
      </c>
      <c r="AJ38" s="15" t="str">
        <f>IF(EJES&gt;7,(A38/40),"")</f>
        <v/>
      </c>
    </row>
    <row r="39" spans="1:36" x14ac:dyDescent="0.25">
      <c r="A39" s="3"/>
      <c r="B39" s="10"/>
      <c r="C39" s="10"/>
      <c r="D39" s="10"/>
      <c r="E39" s="10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</row>
    <row r="40" spans="1:36" ht="15" customHeight="1" x14ac:dyDescent="0.25">
      <c r="A40" s="6">
        <f>COUNTIF(F40:Y41,EJES7)</f>
        <v>0</v>
      </c>
      <c r="B40" s="10">
        <f>COUNTIF(F40:Y41,EJES5)</f>
        <v>0</v>
      </c>
      <c r="C40" s="10">
        <f>COUNTIF(F40:Y41,EJES1)</f>
        <v>0</v>
      </c>
      <c r="D40" s="10">
        <f>COUNTIF(F40:Y41,EJES3)</f>
        <v>0</v>
      </c>
      <c r="E40" s="30">
        <v>9</v>
      </c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  <c r="V40" s="8"/>
      <c r="W40" s="8"/>
      <c r="X40" s="8"/>
      <c r="Y40" s="8"/>
      <c r="AC40" s="2" t="str">
        <f>IF(EJES&gt;0,EJES1,"")</f>
        <v/>
      </c>
      <c r="AD40" s="16" t="str">
        <f>IF(EJES&gt;0,(C40/40),"")</f>
        <v/>
      </c>
      <c r="AE40" s="7" t="str">
        <f>IF(EJES&gt;2,EJES3,"")</f>
        <v/>
      </c>
      <c r="AF40" s="15" t="str">
        <f>IF(EJES&gt;2,(D40/40),"")</f>
        <v/>
      </c>
      <c r="AG40" s="2" t="str">
        <f>IF(EJES&gt;4,EJES5,"")</f>
        <v/>
      </c>
      <c r="AH40" s="16" t="str">
        <f>IF(EJES&gt;4,(B40/40),"")</f>
        <v/>
      </c>
      <c r="AI40" s="7" t="str">
        <f>IF(EJES&gt;6,EJES7,"")</f>
        <v/>
      </c>
      <c r="AJ40" s="15" t="str">
        <f>IF(EJES&gt;6,(A40/40),"")</f>
        <v/>
      </c>
    </row>
    <row r="41" spans="1:36" ht="15" customHeight="1" x14ac:dyDescent="0.25">
      <c r="A41" s="6">
        <f>COUNTIF(F40:Y41,EJES8)</f>
        <v>0</v>
      </c>
      <c r="B41" s="10">
        <f>COUNTIF(F40:Y41,EJES6)</f>
        <v>0</v>
      </c>
      <c r="C41" s="10">
        <f>COUNTIF(F40:Y41,EJES2)</f>
        <v>0</v>
      </c>
      <c r="D41" s="10">
        <f>COUNTIF(F40:Y41,EJES4)</f>
        <v>0</v>
      </c>
      <c r="E41" s="30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/>
      <c r="W41" s="8"/>
      <c r="X41" s="8"/>
      <c r="Y41" s="8"/>
      <c r="AC41" s="2" t="str">
        <f>IF(EJES&gt;1,EJES2,"")</f>
        <v/>
      </c>
      <c r="AD41" s="16" t="str">
        <f>IF(EJES&gt;1,(C41/40),"")</f>
        <v/>
      </c>
      <c r="AE41" s="7" t="str">
        <f>IF(EJES&gt;3,EJES4,"")</f>
        <v/>
      </c>
      <c r="AF41" s="15" t="str">
        <f>IF(EJES&gt;3,(D41/40),"")</f>
        <v/>
      </c>
      <c r="AG41" s="2" t="str">
        <f>IF(EJES&gt;5,EJES6,"")</f>
        <v/>
      </c>
      <c r="AH41" s="16" t="str">
        <f>IF(EJES&gt;5,(B41/40),"")</f>
        <v/>
      </c>
      <c r="AI41" s="7" t="str">
        <f>IF(EJES&gt;7,EJES8,"")</f>
        <v/>
      </c>
      <c r="AJ41" s="15" t="str">
        <f>IF(EJES&gt;7,(A41/40),"")</f>
        <v/>
      </c>
    </row>
    <row r="42" spans="1:36" x14ac:dyDescent="0.25">
      <c r="A42" s="3"/>
      <c r="B42" s="10"/>
      <c r="C42" s="10"/>
      <c r="D42" s="10"/>
      <c r="E42" s="10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</row>
    <row r="43" spans="1:36" ht="15" customHeight="1" x14ac:dyDescent="0.25">
      <c r="A43" s="6">
        <f>COUNTIF(F43:Y44,EJES7)</f>
        <v>0</v>
      </c>
      <c r="B43" s="10">
        <f>COUNTIF(F43:Y44,EJES5)</f>
        <v>0</v>
      </c>
      <c r="C43" s="10">
        <f>COUNTIF(F43:Y44,EJES1)</f>
        <v>0</v>
      </c>
      <c r="D43" s="10">
        <f>COUNTIF(F43:Y44,EJES3)</f>
        <v>0</v>
      </c>
      <c r="E43" s="30">
        <v>10</v>
      </c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  <c r="V43" s="8"/>
      <c r="W43" s="8"/>
      <c r="X43" s="8"/>
      <c r="Y43" s="8"/>
      <c r="AC43" s="2" t="str">
        <f>IF(EJES&gt;0,EJES1,"")</f>
        <v/>
      </c>
      <c r="AD43" s="16" t="str">
        <f>IF(EJES&gt;0,(C43/40),"")</f>
        <v/>
      </c>
      <c r="AE43" s="7" t="str">
        <f>IF(EJES&gt;2,EJES3,"")</f>
        <v/>
      </c>
      <c r="AF43" s="15" t="str">
        <f>IF(EJES&gt;2,(D43/40),"")</f>
        <v/>
      </c>
      <c r="AG43" s="2" t="str">
        <f>IF(EJES&gt;4,EJES5,"")</f>
        <v/>
      </c>
      <c r="AH43" s="16" t="str">
        <f>IF(EJES&gt;4,(B43/40),"")</f>
        <v/>
      </c>
      <c r="AI43" s="7" t="str">
        <f>IF(EJES&gt;6,EJES7,"")</f>
        <v/>
      </c>
      <c r="AJ43" s="15" t="str">
        <f>IF(EJES&gt;6,(A43/40),"")</f>
        <v/>
      </c>
    </row>
    <row r="44" spans="1:36" ht="15" customHeight="1" x14ac:dyDescent="0.25">
      <c r="A44" s="6">
        <f>COUNTIF(F43:Y44,EJES8)</f>
        <v>0</v>
      </c>
      <c r="B44" s="10">
        <f>COUNTIF(F43:Y44,EJES6)</f>
        <v>0</v>
      </c>
      <c r="C44" s="10">
        <f>COUNTIF(F43:Y44,EJES2)</f>
        <v>0</v>
      </c>
      <c r="D44" s="10">
        <f>COUNTIF(F43:Y44,EJES4)</f>
        <v>0</v>
      </c>
      <c r="E44" s="30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  <c r="V44" s="8"/>
      <c r="W44" s="8"/>
      <c r="X44" s="8"/>
      <c r="Y44" s="8"/>
      <c r="AC44" s="2" t="str">
        <f>IF(EJES&gt;1,EJES2,"")</f>
        <v/>
      </c>
      <c r="AD44" s="16" t="str">
        <f>IF(EJES&gt;1,(C44/40),"")</f>
        <v/>
      </c>
      <c r="AE44" s="7" t="str">
        <f>IF(EJES&gt;3,EJES4,"")</f>
        <v/>
      </c>
      <c r="AF44" s="15" t="str">
        <f>IF(EJES&gt;3,(D44/40),"")</f>
        <v/>
      </c>
      <c r="AG44" s="2" t="str">
        <f>IF(EJES&gt;5,EJES6,"")</f>
        <v/>
      </c>
      <c r="AH44" s="16" t="str">
        <f>IF(EJES&gt;5,(B44/40),"")</f>
        <v/>
      </c>
      <c r="AI44" s="7" t="str">
        <f>IF(EJES&gt;7,EJES8,"")</f>
        <v/>
      </c>
      <c r="AJ44" s="15" t="str">
        <f>IF(EJES&gt;7,(A44/40),"")</f>
        <v/>
      </c>
    </row>
    <row r="45" spans="1:36" x14ac:dyDescent="0.25">
      <c r="A45" s="3"/>
      <c r="B45" s="10"/>
      <c r="C45" s="10"/>
      <c r="D45" s="10"/>
      <c r="E45" s="10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</row>
    <row r="46" spans="1:36" ht="15" customHeight="1" x14ac:dyDescent="0.25">
      <c r="A46" s="6">
        <f>COUNTIF(F46:Y47,EJES7)</f>
        <v>0</v>
      </c>
      <c r="B46" s="10">
        <f>COUNTIF(F46:Y47,EJES5)</f>
        <v>0</v>
      </c>
      <c r="C46" s="10">
        <f>COUNTIF(F46:Y47,EJES1)</f>
        <v>0</v>
      </c>
      <c r="D46" s="10">
        <f>COUNTIF(F46:Y47,EJES3)</f>
        <v>0</v>
      </c>
      <c r="E46" s="30">
        <v>11</v>
      </c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  <c r="V46" s="8"/>
      <c r="W46" s="8"/>
      <c r="X46" s="8"/>
      <c r="Y46" s="8"/>
      <c r="AC46" s="2" t="str">
        <f>IF(EJES&gt;0,EJES1,"")</f>
        <v/>
      </c>
      <c r="AD46" s="16" t="str">
        <f>IF(EJES&gt;0,(C46/40),"")</f>
        <v/>
      </c>
      <c r="AE46" s="7" t="str">
        <f>IF(EJES&gt;2,EJES3,"")</f>
        <v/>
      </c>
      <c r="AF46" s="15" t="str">
        <f>IF(EJES&gt;2,(D46/40),"")</f>
        <v/>
      </c>
      <c r="AG46" s="2" t="str">
        <f>IF(EJES&gt;4,EJES5,"")</f>
        <v/>
      </c>
      <c r="AH46" s="16" t="str">
        <f>IF(EJES&gt;4,(B46/40),"")</f>
        <v/>
      </c>
      <c r="AI46" s="7" t="str">
        <f>IF(EJES&gt;6,EJES7,"")</f>
        <v/>
      </c>
      <c r="AJ46" s="15" t="str">
        <f>IF(EJES&gt;6,(A46/40),"")</f>
        <v/>
      </c>
    </row>
    <row r="47" spans="1:36" ht="15" customHeight="1" x14ac:dyDescent="0.25">
      <c r="A47" s="6">
        <f>COUNTIF(F46:Y47,EJES8)</f>
        <v>0</v>
      </c>
      <c r="B47" s="10">
        <f>COUNTIF(F46:Y47,EJES6)</f>
        <v>0</v>
      </c>
      <c r="C47" s="10">
        <f>COUNTIF(F46:Y47,EJES2)</f>
        <v>0</v>
      </c>
      <c r="D47" s="10">
        <f>COUNTIF(F46:Y47,EJES4)</f>
        <v>0</v>
      </c>
      <c r="E47" s="30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AC47" s="2" t="str">
        <f>IF(EJES&gt;1,EJES2,"")</f>
        <v/>
      </c>
      <c r="AD47" s="16" t="str">
        <f>IF(EJES&gt;1,(C47/40),"")</f>
        <v/>
      </c>
      <c r="AE47" s="7" t="str">
        <f>IF(EJES&gt;3,EJES4,"")</f>
        <v/>
      </c>
      <c r="AF47" s="15" t="str">
        <f>IF(EJES&gt;3,(D47/40),"")</f>
        <v/>
      </c>
      <c r="AG47" s="2" t="str">
        <f>IF(EJES&gt;5,EJES6,"")</f>
        <v/>
      </c>
      <c r="AH47" s="16" t="str">
        <f>IF(EJES&gt;5,(B47/40),"")</f>
        <v/>
      </c>
      <c r="AI47" s="7" t="str">
        <f>IF(EJES&gt;7,EJES8,"")</f>
        <v/>
      </c>
      <c r="AJ47" s="15" t="str">
        <f>IF(EJES&gt;7,(A47/40),"")</f>
        <v/>
      </c>
    </row>
    <row r="48" spans="1:36" x14ac:dyDescent="0.25">
      <c r="A48" s="3"/>
      <c r="B48" s="10"/>
      <c r="C48" s="10"/>
      <c r="D48" s="10"/>
      <c r="E48" s="10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</row>
    <row r="49" spans="1:4" x14ac:dyDescent="0.25">
      <c r="A49" s="3"/>
      <c r="B49" s="10"/>
      <c r="C49" s="10"/>
      <c r="D49" s="10"/>
    </row>
    <row r="50" spans="1:4" x14ac:dyDescent="0.25">
      <c r="A50" s="17"/>
      <c r="B50" s="13"/>
    </row>
    <row r="51" spans="1:4" x14ac:dyDescent="0.25">
      <c r="A51" s="17"/>
      <c r="B51" s="13"/>
    </row>
  </sheetData>
  <sheetProtection algorithmName="SHA-512" hashValue="zuIDRb65Xtq8acVOtcgfu4InNIAcD1TrhxSyzWUEoxdw4fskRibUyrGlxa36H67sHmfEMf0fvE0eujENVMhQiw==" saltValue="rh8QOI7BnLrLs8w/8MCe/A==" spinCount="100000" sheet="1" objects="1" scenarios="1" selectLockedCells="1"/>
  <mergeCells count="38">
    <mergeCell ref="C10:D10"/>
    <mergeCell ref="E10:L10"/>
    <mergeCell ref="M10:N10"/>
    <mergeCell ref="E46:E47"/>
    <mergeCell ref="E31:E32"/>
    <mergeCell ref="E34:E35"/>
    <mergeCell ref="E37:E38"/>
    <mergeCell ref="E40:E41"/>
    <mergeCell ref="E43:E44"/>
    <mergeCell ref="E16:E17"/>
    <mergeCell ref="E19:E20"/>
    <mergeCell ref="E22:E23"/>
    <mergeCell ref="E25:E26"/>
    <mergeCell ref="E28:E29"/>
    <mergeCell ref="F14:Y14"/>
    <mergeCell ref="F15:J15"/>
    <mergeCell ref="C4:D4"/>
    <mergeCell ref="C8:D8"/>
    <mergeCell ref="E8:L8"/>
    <mergeCell ref="E4:L4"/>
    <mergeCell ref="Y4:Z4"/>
    <mergeCell ref="Y6:Z6"/>
    <mergeCell ref="M4:N4"/>
    <mergeCell ref="M8:N8"/>
    <mergeCell ref="C6:D6"/>
    <mergeCell ref="E6:L6"/>
    <mergeCell ref="Y8:Z8"/>
    <mergeCell ref="Q8:X8"/>
    <mergeCell ref="M6:N6"/>
    <mergeCell ref="Q4:X4"/>
    <mergeCell ref="Q6:X6"/>
    <mergeCell ref="E12:X12"/>
    <mergeCell ref="AG8:AH8"/>
    <mergeCell ref="K15:O15"/>
    <mergeCell ref="P15:T15"/>
    <mergeCell ref="U15:Y15"/>
    <mergeCell ref="Y10:Z10"/>
    <mergeCell ref="Q10:X10"/>
  </mergeCells>
  <conditionalFormatting sqref="F2:M2">
    <cfRule type="cellIs" dxfId="79" priority="142" operator="equal">
      <formula>"s"</formula>
    </cfRule>
  </conditionalFormatting>
  <conditionalFormatting sqref="E2">
    <cfRule type="notContainsBlanks" dxfId="78" priority="136">
      <formula>LEN(TRIM(E2))&gt;0</formula>
    </cfRule>
  </conditionalFormatting>
  <conditionalFormatting sqref="C4:D4">
    <cfRule type="expression" dxfId="77" priority="608">
      <formula>$E$2&gt;0</formula>
    </cfRule>
  </conditionalFormatting>
  <conditionalFormatting sqref="C6:D6">
    <cfRule type="expression" dxfId="76" priority="135">
      <formula>$E$2&gt;1</formula>
    </cfRule>
  </conditionalFormatting>
  <conditionalFormatting sqref="C8:D8">
    <cfRule type="expression" dxfId="75" priority="134">
      <formula>$E$2&gt;4</formula>
    </cfRule>
  </conditionalFormatting>
  <conditionalFormatting sqref="C10:D10">
    <cfRule type="expression" dxfId="74" priority="133">
      <formula>$E$2&gt;5</formula>
    </cfRule>
  </conditionalFormatting>
  <conditionalFormatting sqref="P4 AE22 AE25 AE28 AE31 AE34 AE37 AE40 AE43 AE46">
    <cfRule type="expression" dxfId="73" priority="131">
      <formula>$E$2&gt;2</formula>
    </cfRule>
  </conditionalFormatting>
  <conditionalFormatting sqref="P6 AE23 AE26 AE29 AE32 AE35 AE38 AE41 AE44 AE47">
    <cfRule type="expression" dxfId="72" priority="130">
      <formula>$E$2&gt;3</formula>
    </cfRule>
  </conditionalFormatting>
  <conditionalFormatting sqref="P8 AI22 AI25 AI28 AI31 AI34 AI37 AI40 AI43 AI46">
    <cfRule type="expression" dxfId="71" priority="129">
      <formula>$E$2&gt;6</formula>
    </cfRule>
  </conditionalFormatting>
  <conditionalFormatting sqref="P10 AI23 AI26 AI29 AI32 AI35 AI38 AI41 AI44 AI47">
    <cfRule type="expression" dxfId="70" priority="128">
      <formula>$E$2&gt;7</formula>
    </cfRule>
  </conditionalFormatting>
  <conditionalFormatting sqref="E4:L4">
    <cfRule type="expression" dxfId="69" priority="117">
      <formula>$E$2&gt;0</formula>
    </cfRule>
  </conditionalFormatting>
  <conditionalFormatting sqref="M4:N4">
    <cfRule type="expression" dxfId="68" priority="116">
      <formula>$E$2&gt;0</formula>
    </cfRule>
  </conditionalFormatting>
  <conditionalFormatting sqref="M6:N6">
    <cfRule type="expression" dxfId="67" priority="115">
      <formula>$E$2&gt;1</formula>
    </cfRule>
  </conditionalFormatting>
  <conditionalFormatting sqref="M8:N8">
    <cfRule type="expression" dxfId="66" priority="114">
      <formula>$E$2&gt;4</formula>
    </cfRule>
  </conditionalFormatting>
  <conditionalFormatting sqref="M10:N10">
    <cfRule type="expression" dxfId="0" priority="113">
      <formula>$E$2&gt;5</formula>
    </cfRule>
  </conditionalFormatting>
  <conditionalFormatting sqref="Y4:Z4">
    <cfRule type="expression" dxfId="65" priority="106">
      <formula>$E$2&gt;2</formula>
    </cfRule>
  </conditionalFormatting>
  <conditionalFormatting sqref="Y6:Z6">
    <cfRule type="expression" dxfId="64" priority="105">
      <formula>$E$2&gt;3</formula>
    </cfRule>
  </conditionalFormatting>
  <conditionalFormatting sqref="Y8:Z8">
    <cfRule type="expression" dxfId="63" priority="104">
      <formula>$E$2&gt;6</formula>
    </cfRule>
  </conditionalFormatting>
  <conditionalFormatting sqref="Y10:Z10">
    <cfRule type="expression" dxfId="62" priority="103">
      <formula>$E$2&gt;7</formula>
    </cfRule>
  </conditionalFormatting>
  <conditionalFormatting sqref="E6:L6">
    <cfRule type="expression" dxfId="61" priority="102">
      <formula>$E$2&gt;1</formula>
    </cfRule>
  </conditionalFormatting>
  <conditionalFormatting sqref="Q4:X4">
    <cfRule type="expression" dxfId="60" priority="101">
      <formula>$E$2&gt;2</formula>
    </cfRule>
  </conditionalFormatting>
  <conditionalFormatting sqref="Q6:X6">
    <cfRule type="expression" dxfId="59" priority="100">
      <formula>$E$2&gt;3</formula>
    </cfRule>
  </conditionalFormatting>
  <conditionalFormatting sqref="E8:L8">
    <cfRule type="expression" dxfId="58" priority="99">
      <formula>$E$2&gt;4</formula>
    </cfRule>
  </conditionalFormatting>
  <conditionalFormatting sqref="E10:L10">
    <cfRule type="expression" dxfId="57" priority="98">
      <formula>$E$2&gt;5</formula>
    </cfRule>
  </conditionalFormatting>
  <conditionalFormatting sqref="Q8:X8">
    <cfRule type="expression" dxfId="56" priority="97">
      <formula>$E$2&gt;6</formula>
    </cfRule>
  </conditionalFormatting>
  <conditionalFormatting sqref="Q10:X10">
    <cfRule type="expression" dxfId="55" priority="96">
      <formula>$E$2&gt;7</formula>
    </cfRule>
  </conditionalFormatting>
  <conditionalFormatting sqref="AC16 AC22 AC25 AC28 AC31 AC34 AC37 AC40 AC43 AC46">
    <cfRule type="expression" dxfId="54" priority="95">
      <formula>$E$2&gt;0</formula>
    </cfRule>
  </conditionalFormatting>
  <conditionalFormatting sqref="AC17 AC23 AC26 AC29 AC32 AC35 AC38 AC41 AC44 AC47">
    <cfRule type="expression" dxfId="53" priority="94">
      <formula>$E$2&gt;1</formula>
    </cfRule>
  </conditionalFormatting>
  <conditionalFormatting sqref="AG16 AG22 AG25 AG28 AG31 AG34 AG37 AG40 AG43 AG46">
    <cfRule type="expression" dxfId="52" priority="93">
      <formula>$E$2&gt;4</formula>
    </cfRule>
  </conditionalFormatting>
  <conditionalFormatting sqref="AG17 AG23 AG26 AG29 AG32 AG35 AG38 AG41 AG44 AG47">
    <cfRule type="expression" dxfId="51" priority="92">
      <formula>$E$2&gt;5</formula>
    </cfRule>
  </conditionalFormatting>
  <conditionalFormatting sqref="AE16">
    <cfRule type="expression" dxfId="50" priority="91">
      <formula>$E$2&gt;2</formula>
    </cfRule>
  </conditionalFormatting>
  <conditionalFormatting sqref="AE17">
    <cfRule type="expression" dxfId="49" priority="90">
      <formula>$E$2&gt;3</formula>
    </cfRule>
  </conditionalFormatting>
  <conditionalFormatting sqref="AI16">
    <cfRule type="expression" dxfId="48" priority="89">
      <formula>$E$2&gt;6</formula>
    </cfRule>
  </conditionalFormatting>
  <conditionalFormatting sqref="AI17">
    <cfRule type="expression" dxfId="47" priority="88">
      <formula>$E$2&gt;7</formula>
    </cfRule>
  </conditionalFormatting>
  <conditionalFormatting sqref="AD16 AD22 AD25 AD28 AD31 AD34 AD37 AD40 AD43 AD46">
    <cfRule type="expression" dxfId="46" priority="87">
      <formula>$E$2&gt;0</formula>
    </cfRule>
  </conditionalFormatting>
  <conditionalFormatting sqref="AD17 AD23 AD26 AD29 AD32 AD35 AD38 AD41 AD44 AD47">
    <cfRule type="expression" dxfId="45" priority="86">
      <formula>$E$2&gt;1</formula>
    </cfRule>
  </conditionalFormatting>
  <conditionalFormatting sqref="AF16 AF22 AF25 AF28 AF31 AF34 AF37 AF40 AF43 AF46">
    <cfRule type="expression" dxfId="44" priority="85">
      <formula>$E$2&gt;2</formula>
    </cfRule>
  </conditionalFormatting>
  <conditionalFormatting sqref="AF17 AF23 AF26 AF29 AF32 AF35 AF38 AF41 AF44 AF47">
    <cfRule type="expression" dxfId="43" priority="84">
      <formula>$E$2&gt;3</formula>
    </cfRule>
  </conditionalFormatting>
  <conditionalFormatting sqref="AH16 AH22 AH25 AH28 AH31 AH34 AH37 AH40 AH43 AH46">
    <cfRule type="expression" dxfId="42" priority="83">
      <formula>$E$2&gt;4</formula>
    </cfRule>
  </conditionalFormatting>
  <conditionalFormatting sqref="AH17 AH23 AH26 AH29 AH32 AH35 AH38 AH41 AH44 AH47">
    <cfRule type="expression" dxfId="41" priority="82">
      <formula>$E$2&gt;5</formula>
    </cfRule>
  </conditionalFormatting>
  <conditionalFormatting sqref="AJ16 AJ22 AJ25 AJ28 AJ31 AJ34 AJ37 AJ40 AJ43 AJ46">
    <cfRule type="expression" dxfId="40" priority="81">
      <formula>$E$2&gt;6</formula>
    </cfRule>
  </conditionalFormatting>
  <conditionalFormatting sqref="AJ17 AJ23 AJ26 AJ29 AJ32 AJ35 AJ38 AJ41 AJ44 AJ47">
    <cfRule type="expression" dxfId="39" priority="80">
      <formula>$E$2&gt;7</formula>
    </cfRule>
  </conditionalFormatting>
  <conditionalFormatting sqref="AC19">
    <cfRule type="expression" dxfId="38" priority="47">
      <formula>$E$2&gt;0</formula>
    </cfRule>
  </conditionalFormatting>
  <conditionalFormatting sqref="AC20">
    <cfRule type="expression" dxfId="37" priority="46">
      <formula>$E$2&gt;1</formula>
    </cfRule>
  </conditionalFormatting>
  <conditionalFormatting sqref="AG19">
    <cfRule type="expression" dxfId="36" priority="45">
      <formula>$E$2&gt;4</formula>
    </cfRule>
  </conditionalFormatting>
  <conditionalFormatting sqref="AG20">
    <cfRule type="expression" dxfId="35" priority="44">
      <formula>$E$2&gt;5</formula>
    </cfRule>
  </conditionalFormatting>
  <conditionalFormatting sqref="AE19">
    <cfRule type="expression" dxfId="34" priority="43">
      <formula>$E$2&gt;2</formula>
    </cfRule>
  </conditionalFormatting>
  <conditionalFormatting sqref="AE20">
    <cfRule type="expression" dxfId="33" priority="42">
      <formula>$E$2&gt;3</formula>
    </cfRule>
  </conditionalFormatting>
  <conditionalFormatting sqref="AI19">
    <cfRule type="expression" dxfId="32" priority="41">
      <formula>$E$2&gt;6</formula>
    </cfRule>
  </conditionalFormatting>
  <conditionalFormatting sqref="AI20">
    <cfRule type="expression" dxfId="31" priority="40">
      <formula>$E$2&gt;7</formula>
    </cfRule>
  </conditionalFormatting>
  <conditionalFormatting sqref="AD19">
    <cfRule type="expression" dxfId="30" priority="39">
      <formula>$E$2&gt;0</formula>
    </cfRule>
  </conditionalFormatting>
  <conditionalFormatting sqref="AD20">
    <cfRule type="expression" dxfId="29" priority="38">
      <formula>$E$2&gt;1</formula>
    </cfRule>
  </conditionalFormatting>
  <conditionalFormatting sqref="AF19">
    <cfRule type="expression" dxfId="28" priority="37">
      <formula>$E$2&gt;2</formula>
    </cfRule>
  </conditionalFormatting>
  <conditionalFormatting sqref="AF20">
    <cfRule type="expression" dxfId="27" priority="36">
      <formula>$E$2&gt;3</formula>
    </cfRule>
  </conditionalFormatting>
  <conditionalFormatting sqref="AH19">
    <cfRule type="expression" dxfId="26" priority="35">
      <formula>$E$2&gt;4</formula>
    </cfRule>
  </conditionalFormatting>
  <conditionalFormatting sqref="AH20">
    <cfRule type="expression" dxfId="25" priority="34">
      <formula>$E$2&gt;5</formula>
    </cfRule>
  </conditionalFormatting>
  <conditionalFormatting sqref="AJ19">
    <cfRule type="expression" dxfId="24" priority="33">
      <formula>$E$2&gt;6</formula>
    </cfRule>
  </conditionalFormatting>
  <conditionalFormatting sqref="AJ20">
    <cfRule type="expression" dxfId="23" priority="32">
      <formula>$E$2&gt;7</formula>
    </cfRule>
  </conditionalFormatting>
  <conditionalFormatting sqref="E12:X12">
    <cfRule type="cellIs" dxfId="22" priority="31" operator="equal">
      <formula>"Por favor antes de crear el código, primero redacte el Eje correspondiente."</formula>
    </cfRule>
    <cfRule type="cellIs" dxfId="21" priority="30" operator="equal">
      <formula>"Por favor, asigne un código de máximo 3 letras al Eje correspondiente."</formula>
    </cfRule>
    <cfRule type="cellIs" dxfId="20" priority="29" operator="equal">
      <formula>"Por favor, asigne un código de máximo 3 letras a los Ejes correspondientes."</formula>
    </cfRule>
    <cfRule type="cellIs" dxfId="19" priority="28" operator="equal">
      <formula>"Por favor antes de crear los códigos, primero redacte los Ejes correspondientes."</formula>
    </cfRule>
  </conditionalFormatting>
  <conditionalFormatting sqref="F16:Y17">
    <cfRule type="cellIs" dxfId="18" priority="259" operator="equal">
      <formula>EJES5</formula>
    </cfRule>
    <cfRule type="cellIs" dxfId="17" priority="260" operator="equal">
      <formula>EJES4</formula>
    </cfRule>
    <cfRule type="cellIs" dxfId="16" priority="261" operator="equal">
      <formula>EJES3</formula>
    </cfRule>
    <cfRule type="cellIs" dxfId="15" priority="262" operator="equal">
      <formula>EJES2</formula>
    </cfRule>
    <cfRule type="cellIs" dxfId="14" priority="263" operator="equal">
      <formula>EJES1</formula>
    </cfRule>
    <cfRule type="cellIs" dxfId="13" priority="258" operator="equal">
      <formula>EJES6</formula>
    </cfRule>
    <cfRule type="cellIs" dxfId="12" priority="257" operator="equal">
      <formula>EJES7</formula>
    </cfRule>
    <cfRule type="cellIs" dxfId="11" priority="256" operator="equal">
      <formula>EJES8</formula>
    </cfRule>
  </conditionalFormatting>
  <conditionalFormatting sqref="F16:Y17">
    <cfRule type="cellIs" dxfId="10" priority="19" operator="equal">
      <formula>""</formula>
    </cfRule>
  </conditionalFormatting>
  <conditionalFormatting sqref="F19:Y20 F22:Y23 F25:Y26 F28:Y29 F31:Y32 F34:Y35 F37:Y38 F40:Y41 F43:Y44 F46:Y47">
    <cfRule type="cellIs" dxfId="9" priority="2" operator="equal">
      <formula>EJES8</formula>
    </cfRule>
    <cfRule type="cellIs" dxfId="8" priority="3" operator="equal">
      <formula>EJES7</formula>
    </cfRule>
    <cfRule type="cellIs" dxfId="7" priority="4" operator="equal">
      <formula>EJES6</formula>
    </cfRule>
    <cfRule type="cellIs" dxfId="6" priority="5" operator="equal">
      <formula>EJES5</formula>
    </cfRule>
    <cfRule type="cellIs" dxfId="5" priority="6" operator="equal">
      <formula>EJES4</formula>
    </cfRule>
    <cfRule type="cellIs" dxfId="4" priority="7" operator="equal">
      <formula>EJES3</formula>
    </cfRule>
    <cfRule type="cellIs" dxfId="3" priority="8" operator="equal">
      <formula>EJES2</formula>
    </cfRule>
    <cfRule type="cellIs" dxfId="2" priority="9" operator="equal">
      <formula>EJES1</formula>
    </cfRule>
  </conditionalFormatting>
  <conditionalFormatting sqref="F19:Y20 F22:Y23 F25:Y26 F28:Y29 F31:Y32 F34:Y35 F37:Y38 F40:Y41 F43:Y44 F46:Y47">
    <cfRule type="cellIs" dxfId="1" priority="1" operator="equal">
      <formula>""</formula>
    </cfRule>
  </conditionalFormatting>
  <dataValidations count="2">
    <dataValidation type="whole" allowBlank="1" showInputMessage="1" showErrorMessage="1" error="Sólo puede colocar numeros entre 1 y 8." prompt="Indique un numero entre 1 y 8." sqref="E2">
      <formula1>1</formula1>
      <formula2>8</formula2>
    </dataValidation>
    <dataValidation type="textLength" showInputMessage="1" showErrorMessage="1" sqref="C4:D4 C6:D6 C8:D8 C10:D10 P10 P8 P6 P4">
      <formula1>0</formula1>
      <formula2>3</formula2>
    </dataValidation>
  </dataValidation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10</vt:i4>
      </vt:variant>
    </vt:vector>
  </HeadingPairs>
  <TitlesOfParts>
    <vt:vector size="11" baseType="lpstr">
      <vt:lpstr>Hoja1</vt:lpstr>
      <vt:lpstr>DATOS</vt:lpstr>
      <vt:lpstr>EJES</vt:lpstr>
      <vt:lpstr>EJES1</vt:lpstr>
      <vt:lpstr>EJES2</vt:lpstr>
      <vt:lpstr>EJES3</vt:lpstr>
      <vt:lpstr>EJES4</vt:lpstr>
      <vt:lpstr>EJES5</vt:lpstr>
      <vt:lpstr>EJES6</vt:lpstr>
      <vt:lpstr>EJES7</vt:lpstr>
      <vt:lpstr>EJES8</vt:lpstr>
    </vt:vector>
  </TitlesOfParts>
  <Manager>Jorge Alonso Cotera Guerra</Manager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A. Cotera</dc:creator>
  <cp:lastModifiedBy>Jorge A. Cotera</cp:lastModifiedBy>
  <cp:revision>1</cp:revision>
  <dcterms:created xsi:type="dcterms:W3CDTF">2014-01-09T14:51:38Z</dcterms:created>
  <dcterms:modified xsi:type="dcterms:W3CDTF">2014-10-08T20:39:15Z</dcterms:modified>
</cp:coreProperties>
</file>